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f9d085577e49b5/Desktop/"/>
    </mc:Choice>
  </mc:AlternateContent>
  <xr:revisionPtr revIDLastSave="18" documentId="11_DC9ACCED7A98DE334B0F1666DEA97753D947DB4A" xr6:coauthVersionLast="47" xr6:coauthVersionMax="47" xr10:uidLastSave="{C9ADDC43-633D-40BD-A37E-A5C44A8D9633}"/>
  <bookViews>
    <workbookView xWindow="-108" yWindow="-108" windowWidth="23256" windowHeight="12456" tabRatio="825" xr2:uid="{00000000-000D-0000-FFFF-FFFF00000000}"/>
  </bookViews>
  <sheets>
    <sheet name="TỔNG" sheetId="1" r:id="rId1"/>
    <sheet name="CHENGLONG - " sheetId="3" r:id="rId2"/>
    <sheet name="SHACMAN- " sheetId="4" r:id="rId3"/>
    <sheet name="HOWO-  " sheetId="5" r:id="rId4"/>
    <sheet name="GIẤY TỜ SẮP HẾT HẠN" sheetId="2" r:id="rId5"/>
    <sheet name="XE -MOOC GẦN ĐẾN HẠN 06-2026" sheetId="7" r:id="rId6"/>
  </sheets>
  <definedNames>
    <definedName name="_xlnm._FilterDatabase" localSheetId="0" hidden="1">TỔNG!$A$1:$P$1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2" i="5" l="1"/>
  <c r="K18" i="3"/>
  <c r="K6" i="3"/>
  <c r="I6" i="3"/>
  <c r="M6" i="3" s="1"/>
  <c r="M15" i="3" l="1"/>
  <c r="M21" i="3"/>
  <c r="L6" i="4" l="1"/>
  <c r="L9" i="4"/>
  <c r="L12" i="4"/>
  <c r="L15" i="4"/>
  <c r="L18" i="4"/>
  <c r="L3" i="4"/>
  <c r="K24" i="3" l="1"/>
  <c r="K6" i="4" l="1"/>
  <c r="N6" i="5" l="1"/>
  <c r="N9" i="5" l="1"/>
  <c r="N3" i="5"/>
  <c r="L3" i="5"/>
  <c r="K18" i="4"/>
  <c r="K15" i="4"/>
  <c r="K12" i="4"/>
  <c r="K9" i="4"/>
  <c r="K3" i="4"/>
  <c r="K27" i="3" l="1"/>
  <c r="I27" i="3"/>
  <c r="L27" i="3" s="1"/>
  <c r="K21" i="3"/>
  <c r="I21" i="3"/>
  <c r="K15" i="3"/>
  <c r="I15" i="3"/>
  <c r="K12" i="3"/>
  <c r="I12" i="3"/>
  <c r="L12" i="3" s="1"/>
  <c r="K9" i="3"/>
  <c r="I9" i="3"/>
  <c r="L9" i="3" s="1"/>
  <c r="K3" i="3"/>
  <c r="I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2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TNDS</t>
        </r>
      </text>
    </comment>
  </commentList>
</comments>
</file>

<file path=xl/sharedStrings.xml><?xml version="1.0" encoding="utf-8"?>
<sst xmlns="http://schemas.openxmlformats.org/spreadsheetml/2006/main" count="438" uniqueCount="176">
  <si>
    <t>STT</t>
  </si>
  <si>
    <t>LOẠI XE</t>
  </si>
  <si>
    <t>THEO XE</t>
  </si>
  <si>
    <t>HẠN ĐĂNG KIỂM</t>
  </si>
  <si>
    <t>HẠN BẢO HIỂM</t>
  </si>
  <si>
    <t>HẠN CÀ VẸT</t>
  </si>
  <si>
    <t>NỘI DUNG</t>
  </si>
  <si>
    <t>SỐ MOOC</t>
  </si>
  <si>
    <t>HẠN BH</t>
  </si>
  <si>
    <t>GHI CHÚ</t>
  </si>
  <si>
    <t>1</t>
  </si>
  <si>
    <t>SHACMAN</t>
  </si>
  <si>
    <t>Chailease 5.3.26</t>
  </si>
  <si>
    <t>50E12208</t>
  </si>
  <si>
    <t>Mua mooc đợt 1 (19.1.24)</t>
  </si>
  <si>
    <t>50RM01660</t>
  </si>
  <si>
    <t>2</t>
  </si>
  <si>
    <t>50H43224</t>
  </si>
  <si>
    <t>mua mooc đợt 2 (25.6.24)</t>
  </si>
  <si>
    <t>50RM03596</t>
  </si>
  <si>
    <t>3</t>
  </si>
  <si>
    <t>50H08875</t>
  </si>
  <si>
    <t>50RM01427</t>
  </si>
  <si>
    <t>50H43211</t>
  </si>
  <si>
    <t>50RM01446</t>
  </si>
  <si>
    <t>50H45491</t>
  </si>
  <si>
    <t>50RM03734</t>
  </si>
  <si>
    <t>50H08465</t>
  </si>
  <si>
    <t>50RM03827</t>
  </si>
  <si>
    <t>CHENGLONG</t>
  </si>
  <si>
    <t>Chailease 11.6.25</t>
  </si>
  <si>
    <t>50H09453</t>
  </si>
  <si>
    <t>mua mooc đợt 3 (10.3.25)</t>
  </si>
  <si>
    <t>50RM00296</t>
  </si>
  <si>
    <t>chailese 3.11.2025</t>
  </si>
  <si>
    <t>50RM13917</t>
  </si>
  <si>
    <t>50RM13921</t>
  </si>
  <si>
    <t>MOOC THÀNH CÔNG MƯỢN</t>
  </si>
  <si>
    <t>50E53748</t>
  </si>
  <si>
    <t>50RM04527</t>
  </si>
  <si>
    <t>50RM13922</t>
  </si>
  <si>
    <t>50E53007</t>
  </si>
  <si>
    <t>50RM03923</t>
  </si>
  <si>
    <t>50E54057</t>
  </si>
  <si>
    <t>50RM07019</t>
  </si>
  <si>
    <t>50RM13923</t>
  </si>
  <si>
    <t>50E54420</t>
  </si>
  <si>
    <t>50RM07058</t>
  </si>
  <si>
    <t>50RM13919</t>
  </si>
  <si>
    <t>50H08337</t>
  </si>
  <si>
    <t>50RM03434</t>
  </si>
  <si>
    <t>HOWO</t>
  </si>
  <si>
    <t>Chailease 15.6.22</t>
  </si>
  <si>
    <t>50H-173.66</t>
  </si>
  <si>
    <t>01/07/2026</t>
  </si>
  <si>
    <t>50RM06886</t>
  </si>
  <si>
    <t>50R04512</t>
  </si>
  <si>
    <t>50H-171.48</t>
  </si>
  <si>
    <t>13/07/2026</t>
  </si>
  <si>
    <t>50R04542</t>
  </si>
  <si>
    <t>50RM13920</t>
  </si>
  <si>
    <t>50RM03567</t>
  </si>
  <si>
    <t>50RM01624</t>
  </si>
  <si>
    <t>Anh Khôi</t>
  </si>
  <si>
    <t>51R23165</t>
  </si>
  <si>
    <t>K CẦN MUA</t>
  </si>
  <si>
    <t>FREIGHTLINER</t>
  </si>
  <si>
    <t>51D42300</t>
  </si>
  <si>
    <t>DỌN BÃI</t>
  </si>
  <si>
    <t>An Toàn Quốc</t>
  </si>
  <si>
    <t>50H67617</t>
  </si>
  <si>
    <t>50H68672</t>
  </si>
  <si>
    <t>70H10741</t>
  </si>
  <si>
    <t>CTY TNHH TM DV GIAO NHẬN VẬN TẢI ANH KHÔI</t>
  </si>
  <si>
    <t>LOẠI GIẤY TỜ XE</t>
  </si>
  <si>
    <t>SỐ XE</t>
  </si>
  <si>
    <t>NGÀY HẾT HẠN</t>
  </si>
  <si>
    <t>ĐĂNG KIỂM</t>
  </si>
  <si>
    <t>'01/07/2026</t>
  </si>
  <si>
    <t>'13/07/2026</t>
  </si>
  <si>
    <t>BẢO HIỂM</t>
  </si>
  <si>
    <t>TÊN TX</t>
  </si>
  <si>
    <t>SDT</t>
  </si>
  <si>
    <t>NGUYỄN VĂN KHOA</t>
  </si>
  <si>
    <t>0869231320</t>
  </si>
  <si>
    <t xml:space="preserve">NGUYỄN HOÀI ANH TÚ </t>
  </si>
  <si>
    <t>0369528568</t>
  </si>
  <si>
    <t>NGUYỄN VĂN TRỰC</t>
  </si>
  <si>
    <t>0978612742</t>
  </si>
  <si>
    <t>PHAN THANH HÀ</t>
  </si>
  <si>
    <t>0333936345</t>
  </si>
  <si>
    <t>VÕ VĂN GIÀU</t>
  </si>
  <si>
    <t>0396105040</t>
  </si>
  <si>
    <t>TRẦN VĂN TÂM</t>
  </si>
  <si>
    <t>0398079138</t>
  </si>
  <si>
    <t>TRẦN PHÚC QUANG</t>
  </si>
  <si>
    <t>0375873353</t>
  </si>
  <si>
    <t xml:space="preserve">50E54057 </t>
  </si>
  <si>
    <t>LÊ VĂN TỶ</t>
  </si>
  <si>
    <t>0917181073</t>
  </si>
  <si>
    <t>NGUYỄN THANH TUẤN</t>
  </si>
  <si>
    <t>0909304053</t>
  </si>
  <si>
    <t>0909195484</t>
  </si>
  <si>
    <t>HỒ CHÍ CA</t>
  </si>
  <si>
    <t>0946714147</t>
  </si>
  <si>
    <t>THEO DÕI BẢO DƯỠNG XE ANH KHÔI 2026</t>
  </si>
  <si>
    <t>TT</t>
  </si>
  <si>
    <t xml:space="preserve">SỐ XE </t>
  </si>
  <si>
    <t xml:space="preserve">NGÀY LÀM </t>
  </si>
  <si>
    <t>ĐƠN VỊ SỬA CHỮA / LOẠI XE</t>
  </si>
  <si>
    <t xml:space="preserve">ĐƠN VỊ SỬA CHỮA </t>
  </si>
  <si>
    <t xml:space="preserve">NỘI DUNG SỬA CHỮA </t>
  </si>
  <si>
    <t>ĐVT</t>
  </si>
  <si>
    <t xml:space="preserve">SL </t>
  </si>
  <si>
    <t xml:space="preserve">SỐ KM BẢO DƯỠNG </t>
  </si>
  <si>
    <t>KÌ BẢO DƯỠNG TIẾP THEO</t>
  </si>
  <si>
    <t xml:space="preserve">SỐ KM HIỆN TẠI </t>
  </si>
  <si>
    <t>KM ĐÃ CHẠY</t>
  </si>
  <si>
    <t>50E-54057</t>
  </si>
  <si>
    <t>16/12/2025</t>
  </si>
  <si>
    <t>CHENG LONG</t>
  </si>
  <si>
    <t>LỌC NHỚT</t>
  </si>
  <si>
    <t xml:space="preserve">CÁI </t>
  </si>
  <si>
    <t>LÍT</t>
  </si>
  <si>
    <t>50E-53007</t>
  </si>
  <si>
    <t>15/12/2025</t>
  </si>
  <si>
    <t>50H-08337</t>
  </si>
  <si>
    <t>50H-09453</t>
  </si>
  <si>
    <t>10/12/2025</t>
  </si>
  <si>
    <t>50E-54420</t>
  </si>
  <si>
    <t>17/12/2025</t>
  </si>
  <si>
    <t>50E-53748</t>
  </si>
  <si>
    <t>50H-17366</t>
  </si>
  <si>
    <t>QUANG MINH</t>
  </si>
  <si>
    <t>NHỚT ĐỘNG CƠ/ THAY NHỚT SHELL R4 20W50</t>
  </si>
  <si>
    <t>BÁO HƠI XỈ, MẤT TÁC DỤNG/ THAY MỚI</t>
  </si>
  <si>
    <t>50H17148</t>
  </si>
  <si>
    <t>TXE NGHỈ GIAO XE 15/4  - BAI TBCC - MR KHOA NHẬN</t>
  </si>
  <si>
    <t>51C-458.01</t>
  </si>
  <si>
    <t>FAW</t>
  </si>
  <si>
    <t>KM CÒN : HẠN BẢO DƯỠNG LẦN 2</t>
  </si>
  <si>
    <t>Moóc 50RM 016 24 đảo sang Moóc 50R 045 12.  8 cái vỏ / Mr Khoa báo 20/04/2026</t>
  </si>
  <si>
    <t xml:space="preserve">LÊ VĂN TỶ - doi xe - ngày 20/04 </t>
  </si>
  <si>
    <t xml:space="preserve">LÊ VĂN TỶ - doi xe 50H43224- ngày 21/04 </t>
  </si>
  <si>
    <t>MAI THANH TÙNG</t>
  </si>
  <si>
    <t>xe chay binh hiệp</t>
  </si>
  <si>
    <t>XIN CHẠY LẠI NGÀY 23/04= GIAO XE + MOOC NGAY 27/4</t>
  </si>
  <si>
    <t>Tài xế</t>
  </si>
  <si>
    <t>phone</t>
  </si>
  <si>
    <t xml:space="preserve">BINH HIỆP </t>
  </si>
  <si>
    <t xml:space="preserve">THAY LOC NHOT NGAY 29/4 </t>
  </si>
  <si>
    <t>THAY NHỚT MÁY</t>
  </si>
  <si>
    <t xml:space="preserve">THAY LOC NHỚT </t>
  </si>
  <si>
    <t>NGUYỄN TRƯỜNG GIANG</t>
  </si>
  <si>
    <t>GIANG NHẬN XE 19/05</t>
  </si>
  <si>
    <t>0975313394</t>
  </si>
  <si>
    <t xml:space="preserve">Bank </t>
  </si>
  <si>
    <t>KM CÒN : HẠN BẢO DƯỠNG LẦN 3</t>
  </si>
  <si>
    <t>MỘC BÀI</t>
  </si>
  <si>
    <t>MỘC BÀI
BÌNH HIỆP</t>
  </si>
  <si>
    <t>BÌNH HIỆP</t>
  </si>
  <si>
    <t>HOÀNG THẾ NHÂN</t>
  </si>
  <si>
    <t>0911400977</t>
  </si>
  <si>
    <t>MOOC CỦA XE 50E12208</t>
  </si>
  <si>
    <t>TXE VU NGHI 29/05</t>
  </si>
  <si>
    <t xml:space="preserve">HẠN ĐĂNG KIỂM XE </t>
  </si>
  <si>
    <t xml:space="preserve">HẠN BH XE </t>
  </si>
  <si>
    <t>HẠN ĐĂNG KIỂM MOOC</t>
  </si>
  <si>
    <t>HẠN BH MOOC</t>
  </si>
  <si>
    <t>0989618310</t>
  </si>
  <si>
    <t>TRƯƠNG NGỌC THUẬN</t>
  </si>
  <si>
    <t>Thuận nhan xe 04/06/2026 ---TXE NHẬN XE 04/05/2026 / TXE LỰC NGHỈ 30/05</t>
  </si>
  <si>
    <t>50H17366</t>
  </si>
  <si>
    <t xml:space="preserve">SỬA CHỬA NHẸ </t>
  </si>
  <si>
    <t>Kiem dinh mooc ngày 17/06/2026</t>
  </si>
  <si>
    <t>MOOC XET XONG 18/06/2026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</si>
</sst>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;[Red]0"/>
  </numFmts>
  <fonts count="41" x14ac:knownFonts="1">
    <font>
      <sz val="11"/>
      <color theme="1"/>
      <name val="Calibri"/>
      <family val="2"/>
      <charset val="163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  <charset val="163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9"/>
      <color indexed="81"/>
      <name val="Tahoma"/>
      <family val="2"/>
    </font>
    <font>
      <b/>
      <sz val="17"/>
      <color rgb="FFFF0000"/>
      <name val="Times New Roman"/>
      <family val="1"/>
    </font>
    <font>
      <sz val="17"/>
      <color theme="1"/>
      <name val="Times New Roman"/>
      <family val="1"/>
    </font>
    <font>
      <b/>
      <sz val="17"/>
      <color theme="1"/>
      <name val="Times New Roma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7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sz val="11"/>
      <color theme="1"/>
      <name val="Calibri"/>
      <family val="2"/>
      <charset val="163"/>
      <scheme val="minor"/>
    </font>
    <font>
      <sz val="18"/>
      <color rgb="FFFF0000"/>
      <name val="Calibri"/>
      <family val="2"/>
    </font>
    <font>
      <sz val="14"/>
      <color theme="1"/>
      <name val="Calibri"/>
      <family val="2"/>
      <charset val="163"/>
      <scheme val="minor"/>
    </font>
    <font>
      <b/>
      <sz val="14"/>
      <color theme="1"/>
      <name val="Calibri"/>
      <family val="2"/>
      <charset val="163"/>
      <scheme val="minor"/>
    </font>
    <font>
      <b/>
      <sz val="14"/>
      <color rgb="FFFF0000"/>
      <name val="Times New Roman"/>
      <family val="1"/>
    </font>
    <font>
      <sz val="11"/>
      <color rgb="FFFF0000"/>
      <name val="Calibri"/>
      <family val="2"/>
      <charset val="163"/>
      <scheme val="minor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8"/>
      <name val="Calibri"/>
      <family val="2"/>
    </font>
    <font>
      <b/>
      <sz val="13"/>
      <color theme="1"/>
      <name val="Times New Roman"/>
      <family val="1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5"/>
      <name val="Calibri"/>
      <family val="2"/>
      <scheme val="minor"/>
    </font>
    <font>
      <sz val="9"/>
      <color theme="4"/>
      <name val="Calibri"/>
      <family val="2"/>
      <scheme val="minor"/>
    </font>
    <font>
      <sz val="9"/>
      <color theme="1"/>
      <name val="Segoe UI"/>
      <family val="2"/>
    </font>
    <font>
      <sz val="11"/>
      <color rgb="FFFF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</cellStyleXfs>
  <cellXfs count="3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 wrapText="1"/>
    </xf>
    <xf numFmtId="14" fontId="3" fillId="0" borderId="0" xfId="0" quotePrefix="1" applyNumberFormat="1" applyFont="1" applyAlignment="1">
      <alignment horizontal="center" vertical="center" wrapText="1"/>
    </xf>
    <xf numFmtId="49" fontId="4" fillId="0" borderId="1" xfId="2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1" fontId="8" fillId="0" borderId="1" xfId="0" quotePrefix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4" fontId="12" fillId="0" borderId="1" xfId="0" quotePrefix="1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/>
    </xf>
    <xf numFmtId="14" fontId="12" fillId="0" borderId="7" xfId="0" quotePrefix="1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8" borderId="1" xfId="0" quotePrefix="1" applyFont="1" applyFill="1" applyBorder="1" applyAlignment="1">
      <alignment horizontal="center" vertical="center"/>
    </xf>
    <xf numFmtId="14" fontId="2" fillId="8" borderId="1" xfId="0" applyNumberFormat="1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65" fontId="13" fillId="3" borderId="1" xfId="3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13" fillId="5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49" fontId="1" fillId="5" borderId="1" xfId="2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5" fillId="5" borderId="1" xfId="0" quotePrefix="1" applyNumberFormat="1" applyFont="1" applyFill="1" applyBorder="1" applyAlignment="1">
      <alignment horizontal="center" vertical="center"/>
    </xf>
    <xf numFmtId="0" fontId="0" fillId="0" borderId="1" xfId="0" applyBorder="1"/>
    <xf numFmtId="49" fontId="4" fillId="8" borderId="1" xfId="2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left"/>
    </xf>
    <xf numFmtId="3" fontId="16" fillId="5" borderId="1" xfId="1" applyNumberFormat="1" applyFont="1" applyFill="1" applyBorder="1" applyAlignment="1">
      <alignment horizontal="left" vertical="center"/>
    </xf>
    <xf numFmtId="0" fontId="20" fillId="5" borderId="0" xfId="0" applyFont="1" applyFill="1" applyAlignment="1">
      <alignment horizontal="left"/>
    </xf>
    <xf numFmtId="14" fontId="21" fillId="5" borderId="1" xfId="0" quotePrefix="1" applyNumberFormat="1" applyFont="1" applyFill="1" applyBorder="1" applyAlignment="1">
      <alignment horizontal="left" vertical="center" wrapText="1"/>
    </xf>
    <xf numFmtId="0" fontId="19" fillId="0" borderId="0" xfId="0" applyFont="1" applyAlignment="1">
      <alignment horizontal="left"/>
    </xf>
    <xf numFmtId="0" fontId="19" fillId="8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3" fontId="16" fillId="5" borderId="0" xfId="1" applyNumberFormat="1" applyFont="1" applyFill="1" applyAlignment="1">
      <alignment horizontal="left" vertical="center"/>
    </xf>
    <xf numFmtId="49" fontId="1" fillId="5" borderId="0" xfId="2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49" fontId="4" fillId="8" borderId="1" xfId="2" quotePrefix="1" applyNumberFormat="1" applyFont="1" applyFill="1" applyBorder="1" applyAlignment="1">
      <alignment horizontal="center" vertical="center"/>
    </xf>
    <xf numFmtId="11" fontId="2" fillId="8" borderId="1" xfId="0" quotePrefix="1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center"/>
    </xf>
    <xf numFmtId="0" fontId="17" fillId="6" borderId="1" xfId="0" applyFont="1" applyFill="1" applyBorder="1" applyAlignment="1">
      <alignment horizontal="center"/>
    </xf>
    <xf numFmtId="14" fontId="1" fillId="3" borderId="1" xfId="0" quotePrefix="1" applyNumberFormat="1" applyFont="1" applyFill="1" applyBorder="1" applyAlignment="1">
      <alignment horizontal="center" vertical="center" wrapText="1"/>
    </xf>
    <xf numFmtId="11" fontId="4" fillId="8" borderId="1" xfId="0" quotePrefix="1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4" fontId="13" fillId="3" borderId="1" xfId="0" applyNumberFormat="1" applyFont="1" applyFill="1" applyBorder="1" applyAlignment="1">
      <alignment horizontal="center"/>
    </xf>
    <xf numFmtId="3" fontId="1" fillId="8" borderId="1" xfId="1" applyNumberFormat="1" applyFont="1" applyFill="1" applyBorder="1" applyAlignment="1">
      <alignment horizontal="left" vertical="center"/>
    </xf>
    <xf numFmtId="3" fontId="4" fillId="0" borderId="1" xfId="1" applyNumberFormat="1" applyFont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3" fontId="2" fillId="8" borderId="1" xfId="1" applyNumberFormat="1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center"/>
    </xf>
    <xf numFmtId="0" fontId="27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1" fillId="8" borderId="1" xfId="0" quotePrefix="1" applyFont="1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3" fontId="29" fillId="8" borderId="1" xfId="1" applyNumberFormat="1" applyFont="1" applyFill="1" applyBorder="1" applyAlignment="1">
      <alignment horizontal="left" vertical="center"/>
    </xf>
    <xf numFmtId="3" fontId="28" fillId="8" borderId="1" xfId="1" applyNumberFormat="1" applyFont="1" applyFill="1" applyBorder="1" applyAlignment="1">
      <alignment horizontal="left" vertical="center"/>
    </xf>
    <xf numFmtId="3" fontId="28" fillId="0" borderId="1" xfId="1" applyNumberFormat="1" applyFont="1" applyBorder="1" applyAlignment="1">
      <alignment horizontal="left" vertical="center"/>
    </xf>
    <xf numFmtId="166" fontId="30" fillId="8" borderId="1" xfId="1" quotePrefix="1" applyNumberFormat="1" applyFont="1" applyFill="1" applyBorder="1" applyAlignment="1">
      <alignment horizontal="left" vertical="center"/>
    </xf>
    <xf numFmtId="0" fontId="30" fillId="8" borderId="1" xfId="0" quotePrefix="1" applyFont="1" applyFill="1" applyBorder="1" applyAlignment="1">
      <alignment horizontal="center" vertical="center"/>
    </xf>
    <xf numFmtId="14" fontId="30" fillId="8" borderId="1" xfId="0" quotePrefix="1" applyNumberFormat="1" applyFont="1" applyFill="1" applyBorder="1" applyAlignment="1">
      <alignment horizontal="center" vertical="center"/>
    </xf>
    <xf numFmtId="14" fontId="30" fillId="8" borderId="1" xfId="0" quotePrefix="1" applyNumberFormat="1" applyFont="1" applyFill="1" applyBorder="1" applyAlignment="1">
      <alignment vertical="center"/>
    </xf>
    <xf numFmtId="0" fontId="30" fillId="8" borderId="1" xfId="0" applyFont="1" applyFill="1" applyBorder="1" applyAlignment="1">
      <alignment horizontal="center" vertical="center"/>
    </xf>
    <xf numFmtId="0" fontId="30" fillId="8" borderId="1" xfId="0" applyFont="1" applyFill="1" applyBorder="1" applyAlignment="1">
      <alignment horizontal="center"/>
    </xf>
    <xf numFmtId="14" fontId="30" fillId="8" borderId="1" xfId="0" quotePrefix="1" applyNumberFormat="1" applyFont="1" applyFill="1" applyBorder="1" applyAlignment="1">
      <alignment horizontal="center" vertical="center" wrapText="1"/>
    </xf>
    <xf numFmtId="14" fontId="31" fillId="0" borderId="1" xfId="0" quotePrefix="1" applyNumberFormat="1" applyFont="1" applyBorder="1" applyAlignment="1">
      <alignment vertical="center" wrapText="1"/>
    </xf>
    <xf numFmtId="49" fontId="31" fillId="8" borderId="1" xfId="2" applyNumberFormat="1" applyFont="1" applyFill="1" applyBorder="1" applyAlignment="1">
      <alignment horizontal="left" vertical="center"/>
    </xf>
    <xf numFmtId="14" fontId="30" fillId="0" borderId="1" xfId="0" quotePrefix="1" applyNumberFormat="1" applyFont="1" applyBorder="1" applyAlignment="1">
      <alignment vertical="center"/>
    </xf>
    <xf numFmtId="14" fontId="30" fillId="3" borderId="1" xfId="0" applyNumberFormat="1" applyFont="1" applyFill="1" applyBorder="1" applyAlignment="1">
      <alignment horizontal="center"/>
    </xf>
    <xf numFmtId="3" fontId="31" fillId="5" borderId="1" xfId="1" applyNumberFormat="1" applyFont="1" applyFill="1" applyBorder="1" applyAlignment="1">
      <alignment horizontal="left" vertical="center"/>
    </xf>
    <xf numFmtId="49" fontId="31" fillId="0" borderId="1" xfId="2" applyNumberFormat="1" applyFont="1" applyFill="1" applyBorder="1" applyAlignment="1">
      <alignment horizontal="left" vertical="center"/>
    </xf>
    <xf numFmtId="0" fontId="30" fillId="0" borderId="1" xfId="0" quotePrefix="1" applyFont="1" applyBorder="1" applyAlignment="1">
      <alignment horizontal="center" vertical="center"/>
    </xf>
    <xf numFmtId="14" fontId="30" fillId="0" borderId="1" xfId="0" quotePrefix="1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14" fontId="31" fillId="0" borderId="1" xfId="0" quotePrefix="1" applyNumberFormat="1" applyFont="1" applyBorder="1" applyAlignment="1">
      <alignment horizontal="center" vertical="center" wrapText="1"/>
    </xf>
    <xf numFmtId="0" fontId="32" fillId="5" borderId="1" xfId="0" quotePrefix="1" applyFont="1" applyFill="1" applyBorder="1" applyAlignment="1">
      <alignment horizontal="center" vertical="center"/>
    </xf>
    <xf numFmtId="14" fontId="32" fillId="5" borderId="1" xfId="0" applyNumberFormat="1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/>
    </xf>
    <xf numFmtId="49" fontId="31" fillId="0" borderId="1" xfId="2" quotePrefix="1" applyNumberFormat="1" applyFont="1" applyFill="1" applyBorder="1" applyAlignment="1">
      <alignment horizontal="left" vertical="center"/>
    </xf>
    <xf numFmtId="14" fontId="31" fillId="3" borderId="1" xfId="0" quotePrefix="1" applyNumberFormat="1" applyFont="1" applyFill="1" applyBorder="1" applyAlignment="1">
      <alignment horizontal="center" vertical="center" wrapText="1"/>
    </xf>
    <xf numFmtId="11" fontId="30" fillId="5" borderId="1" xfId="0" quotePrefix="1" applyNumberFormat="1" applyFont="1" applyFill="1" applyBorder="1" applyAlignment="1">
      <alignment horizontal="center" vertical="center"/>
    </xf>
    <xf numFmtId="14" fontId="31" fillId="8" borderId="1" xfId="0" applyNumberFormat="1" applyFont="1" applyFill="1" applyBorder="1" applyAlignment="1">
      <alignment horizontal="center" vertical="center"/>
    </xf>
    <xf numFmtId="14" fontId="31" fillId="9" borderId="1" xfId="0" quotePrefix="1" applyNumberFormat="1" applyFont="1" applyFill="1" applyBorder="1" applyAlignment="1">
      <alignment horizontal="center" vertical="center" wrapText="1"/>
    </xf>
    <xf numFmtId="14" fontId="31" fillId="8" borderId="1" xfId="0" quotePrefix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4" fontId="30" fillId="8" borderId="1" xfId="0" applyNumberFormat="1" applyFont="1" applyFill="1" applyBorder="1" applyAlignment="1">
      <alignment horizontal="center"/>
    </xf>
    <xf numFmtId="0" fontId="32" fillId="5" borderId="5" xfId="0" applyFont="1" applyFill="1" applyBorder="1" applyAlignment="1">
      <alignment horizontal="left"/>
    </xf>
    <xf numFmtId="0" fontId="30" fillId="8" borderId="6" xfId="0" quotePrefix="1" applyFont="1" applyFill="1" applyBorder="1" applyAlignment="1">
      <alignment horizontal="center" vertical="center"/>
    </xf>
    <xf numFmtId="14" fontId="31" fillId="8" borderId="7" xfId="0" quotePrefix="1" applyNumberFormat="1" applyFont="1" applyFill="1" applyBorder="1" applyAlignment="1">
      <alignment horizontal="center" vertical="center" wrapText="1"/>
    </xf>
    <xf numFmtId="14" fontId="30" fillId="8" borderId="8" xfId="0" quotePrefix="1" applyNumberFormat="1" applyFont="1" applyFill="1" applyBorder="1" applyAlignment="1">
      <alignment horizontal="center" vertical="center"/>
    </xf>
    <xf numFmtId="14" fontId="32" fillId="8" borderId="1" xfId="0" quotePrefix="1" applyNumberFormat="1" applyFont="1" applyFill="1" applyBorder="1" applyAlignment="1">
      <alignment horizontal="center" vertical="center" wrapText="1"/>
    </xf>
    <xf numFmtId="0" fontId="30" fillId="0" borderId="6" xfId="0" quotePrefix="1" applyFont="1" applyBorder="1" applyAlignment="1">
      <alignment horizontal="center" vertical="center"/>
    </xf>
    <xf numFmtId="14" fontId="31" fillId="0" borderId="7" xfId="0" quotePrefix="1" applyNumberFormat="1" applyFont="1" applyBorder="1" applyAlignment="1">
      <alignment horizontal="center" vertical="center" wrapText="1"/>
    </xf>
    <xf numFmtId="14" fontId="31" fillId="5" borderId="1" xfId="0" quotePrefix="1" applyNumberFormat="1" applyFont="1" applyFill="1" applyBorder="1" applyAlignment="1">
      <alignment horizontal="center" vertical="center" wrapText="1"/>
    </xf>
    <xf numFmtId="14" fontId="31" fillId="4" borderId="1" xfId="0" quotePrefix="1" applyNumberFormat="1" applyFont="1" applyFill="1" applyBorder="1" applyAlignment="1">
      <alignment horizontal="center" vertical="center" wrapText="1"/>
    </xf>
    <xf numFmtId="14" fontId="32" fillId="5" borderId="7" xfId="0" applyNumberFormat="1" applyFont="1" applyFill="1" applyBorder="1" applyAlignment="1">
      <alignment horizontal="center"/>
    </xf>
    <xf numFmtId="14" fontId="30" fillId="0" borderId="7" xfId="0" applyNumberFormat="1" applyFont="1" applyBorder="1" applyAlignment="1">
      <alignment horizontal="center"/>
    </xf>
    <xf numFmtId="0" fontId="28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3" fillId="2" borderId="1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14" fontId="34" fillId="8" borderId="8" xfId="0" quotePrefix="1" applyNumberFormat="1" applyFont="1" applyFill="1" applyBorder="1" applyAlignment="1">
      <alignment horizontal="center" vertical="center"/>
    </xf>
    <xf numFmtId="14" fontId="34" fillId="0" borderId="1" xfId="0" quotePrefix="1" applyNumberFormat="1" applyFont="1" applyBorder="1" applyAlignment="1">
      <alignment vertical="center"/>
    </xf>
    <xf numFmtId="14" fontId="34" fillId="0" borderId="7" xfId="0" applyNumberFormat="1" applyFont="1" applyBorder="1" applyAlignment="1">
      <alignment horizontal="center"/>
    </xf>
    <xf numFmtId="14" fontId="34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4" fontId="30" fillId="2" borderId="1" xfId="0" quotePrefix="1" applyNumberFormat="1" applyFont="1" applyFill="1" applyBorder="1" applyAlignment="1">
      <alignment vertical="center"/>
    </xf>
    <xf numFmtId="0" fontId="34" fillId="2" borderId="1" xfId="0" applyFont="1" applyFill="1" applyBorder="1" applyAlignment="1">
      <alignment horizontal="center" vertical="center"/>
    </xf>
    <xf numFmtId="14" fontId="31" fillId="2" borderId="2" xfId="0" quotePrefix="1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/>
    </xf>
    <xf numFmtId="0" fontId="30" fillId="9" borderId="1" xfId="0" applyFont="1" applyFill="1" applyBorder="1" applyAlignment="1">
      <alignment horizontal="center" vertical="center"/>
    </xf>
    <xf numFmtId="11" fontId="35" fillId="8" borderId="1" xfId="0" quotePrefix="1" applyNumberFormat="1" applyFont="1" applyFill="1" applyBorder="1" applyAlignment="1">
      <alignment horizontal="center" vertical="center"/>
    </xf>
    <xf numFmtId="0" fontId="35" fillId="8" borderId="2" xfId="0" quotePrefix="1" applyFont="1" applyFill="1" applyBorder="1" applyAlignment="1">
      <alignment horizontal="center" vertical="center"/>
    </xf>
    <xf numFmtId="0" fontId="35" fillId="8" borderId="1" xfId="0" quotePrefix="1" applyFont="1" applyFill="1" applyBorder="1" applyAlignment="1">
      <alignment horizontal="center" vertical="center"/>
    </xf>
    <xf numFmtId="0" fontId="36" fillId="0" borderId="1" xfId="0" quotePrefix="1" applyFont="1" applyBorder="1" applyAlignment="1">
      <alignment horizontal="center" vertical="center"/>
    </xf>
    <xf numFmtId="0" fontId="37" fillId="8" borderId="1" xfId="0" quotePrefix="1" applyFont="1" applyFill="1" applyBorder="1" applyAlignment="1">
      <alignment horizontal="right" vertical="center"/>
    </xf>
    <xf numFmtId="0" fontId="37" fillId="0" borderId="1" xfId="0" quotePrefix="1" applyFont="1" applyBorder="1" applyAlignment="1">
      <alignment horizontal="right" vertical="center"/>
    </xf>
    <xf numFmtId="0" fontId="38" fillId="0" borderId="1" xfId="0" quotePrefix="1" applyFont="1" applyBorder="1" applyAlignment="1">
      <alignment horizontal="center" vertical="center"/>
    </xf>
    <xf numFmtId="0" fontId="34" fillId="8" borderId="1" xfId="0" quotePrefix="1" applyFont="1" applyFill="1" applyBorder="1" applyAlignment="1">
      <alignment horizontal="left" vertical="center"/>
    </xf>
    <xf numFmtId="0" fontId="34" fillId="0" borderId="1" xfId="0" quotePrefix="1" applyFont="1" applyBorder="1" applyAlignment="1">
      <alignment horizontal="left" vertical="center"/>
    </xf>
    <xf numFmtId="14" fontId="33" fillId="0" borderId="1" xfId="0" quotePrefix="1" applyNumberFormat="1" applyFont="1" applyBorder="1" applyAlignment="1">
      <alignment horizontal="left" vertical="center"/>
    </xf>
    <xf numFmtId="14" fontId="33" fillId="8" borderId="1" xfId="0" quotePrefix="1" applyNumberFormat="1" applyFont="1" applyFill="1" applyBorder="1" applyAlignment="1">
      <alignment horizontal="left" vertical="center"/>
    </xf>
    <xf numFmtId="0" fontId="33" fillId="0" borderId="1" xfId="0" quotePrefix="1" applyFont="1" applyBorder="1" applyAlignment="1">
      <alignment horizontal="left" vertical="center"/>
    </xf>
    <xf numFmtId="14" fontId="31" fillId="0" borderId="4" xfId="0" quotePrefix="1" applyNumberFormat="1" applyFont="1" applyBorder="1" applyAlignment="1">
      <alignment horizontal="center" vertical="center" wrapText="1"/>
    </xf>
    <xf numFmtId="14" fontId="31" fillId="7" borderId="1" xfId="0" quotePrefix="1" applyNumberFormat="1" applyFont="1" applyFill="1" applyBorder="1" applyAlignment="1">
      <alignment horizontal="center" vertical="center" wrapText="1"/>
    </xf>
    <xf numFmtId="0" fontId="2" fillId="8" borderId="0" xfId="0" quotePrefix="1" applyFont="1" applyFill="1" applyAlignment="1">
      <alignment horizontal="center" vertical="center"/>
    </xf>
    <xf numFmtId="3" fontId="2" fillId="8" borderId="0" xfId="1" applyNumberFormat="1" applyFont="1" applyFill="1" applyAlignment="1">
      <alignment horizontal="center" vertical="center"/>
    </xf>
    <xf numFmtId="1" fontId="2" fillId="8" borderId="0" xfId="1" quotePrefix="1" applyNumberFormat="1" applyFont="1" applyFill="1" applyAlignment="1">
      <alignment horizontal="center" vertical="center"/>
    </xf>
    <xf numFmtId="0" fontId="4" fillId="8" borderId="0" xfId="0" quotePrefix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7" fillId="8" borderId="0" xfId="0" applyFont="1" applyFill="1" applyAlignment="1">
      <alignment horizontal="center"/>
    </xf>
    <xf numFmtId="14" fontId="3" fillId="0" borderId="0" xfId="0" quotePrefix="1" applyNumberFormat="1" applyFont="1" applyAlignment="1">
      <alignment vertical="center" wrapText="1"/>
    </xf>
    <xf numFmtId="14" fontId="1" fillId="8" borderId="0" xfId="0" quotePrefix="1" applyNumberFormat="1" applyFont="1" applyFill="1" applyAlignment="1">
      <alignment horizontal="center" vertical="center" wrapText="1"/>
    </xf>
    <xf numFmtId="3" fontId="4" fillId="8" borderId="1" xfId="1" applyNumberFormat="1" applyFont="1" applyFill="1" applyBorder="1" applyAlignment="1">
      <alignment horizontal="left" vertical="center"/>
    </xf>
    <xf numFmtId="3" fontId="4" fillId="0" borderId="1" xfId="1" applyNumberFormat="1" applyFont="1" applyBorder="1" applyAlignment="1">
      <alignment horizontal="left" vertical="center"/>
    </xf>
    <xf numFmtId="3" fontId="2" fillId="8" borderId="1" xfId="1" applyNumberFormat="1" applyFont="1" applyFill="1" applyBorder="1" applyAlignment="1">
      <alignment horizontal="left" vertical="center"/>
    </xf>
    <xf numFmtId="1" fontId="2" fillId="8" borderId="1" xfId="1" quotePrefix="1" applyNumberFormat="1" applyFont="1" applyFill="1" applyBorder="1" applyAlignment="1">
      <alignment horizontal="center" vertical="center"/>
    </xf>
    <xf numFmtId="14" fontId="30" fillId="5" borderId="1" xfId="0" applyNumberFormat="1" applyFont="1" applyFill="1" applyBorder="1" applyAlignment="1">
      <alignment horizontal="center"/>
    </xf>
    <xf numFmtId="49" fontId="31" fillId="2" borderId="2" xfId="2" quotePrefix="1" applyNumberFormat="1" applyFont="1" applyFill="1" applyBorder="1" applyAlignment="1">
      <alignment horizontal="left" vertical="center"/>
    </xf>
    <xf numFmtId="49" fontId="31" fillId="2" borderId="6" xfId="2" quotePrefix="1" applyNumberFormat="1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5" fillId="2" borderId="2" xfId="0" quotePrefix="1" applyFont="1" applyFill="1" applyBorder="1" applyAlignment="1">
      <alignment horizontal="center" vertical="center"/>
    </xf>
    <xf numFmtId="0" fontId="35" fillId="2" borderId="4" xfId="0" quotePrefix="1" applyFont="1" applyFill="1" applyBorder="1" applyAlignment="1">
      <alignment horizontal="center" vertical="center"/>
    </xf>
    <xf numFmtId="0" fontId="30" fillId="2" borderId="2" xfId="0" quotePrefix="1" applyFont="1" applyFill="1" applyBorder="1" applyAlignment="1">
      <alignment horizontal="center" vertical="center"/>
    </xf>
    <xf numFmtId="0" fontId="30" fillId="2" borderId="6" xfId="0" quotePrefix="1" applyFont="1" applyFill="1" applyBorder="1" applyAlignment="1">
      <alignment horizontal="center" vertical="center"/>
    </xf>
    <xf numFmtId="0" fontId="11" fillId="2" borderId="2" xfId="0" quotePrefix="1" applyFont="1" applyFill="1" applyBorder="1" applyAlignment="1">
      <alignment horizontal="center" vertical="center"/>
    </xf>
    <xf numFmtId="0" fontId="11" fillId="2" borderId="6" xfId="0" quotePrefix="1" applyFont="1" applyFill="1" applyBorder="1" applyAlignment="1">
      <alignment horizontal="center" vertical="center"/>
    </xf>
    <xf numFmtId="49" fontId="31" fillId="2" borderId="2" xfId="2" quotePrefix="1" applyNumberFormat="1" applyFont="1" applyFill="1" applyBorder="1" applyAlignment="1">
      <alignment horizontal="center" vertical="center"/>
    </xf>
    <xf numFmtId="49" fontId="31" fillId="2" borderId="6" xfId="2" quotePrefix="1" applyNumberFormat="1" applyFont="1" applyFill="1" applyBorder="1" applyAlignment="1">
      <alignment horizontal="center" vertical="center"/>
    </xf>
    <xf numFmtId="0" fontId="37" fillId="2" borderId="2" xfId="0" quotePrefix="1" applyFont="1" applyFill="1" applyBorder="1" applyAlignment="1">
      <alignment horizontal="center" vertical="center"/>
    </xf>
    <xf numFmtId="0" fontId="37" fillId="2" borderId="6" xfId="0" quotePrefix="1" applyFont="1" applyFill="1" applyBorder="1" applyAlignment="1">
      <alignment horizontal="center" vertical="center"/>
    </xf>
    <xf numFmtId="14" fontId="30" fillId="2" borderId="2" xfId="0" quotePrefix="1" applyNumberFormat="1" applyFont="1" applyFill="1" applyBorder="1" applyAlignment="1">
      <alignment horizontal="center" vertical="center"/>
    </xf>
    <xf numFmtId="14" fontId="30" fillId="2" borderId="6" xfId="0" quotePrefix="1" applyNumberFormat="1" applyFont="1" applyFill="1" applyBorder="1" applyAlignment="1">
      <alignment horizontal="center" vertical="center"/>
    </xf>
    <xf numFmtId="3" fontId="28" fillId="2" borderId="2" xfId="1" applyNumberFormat="1" applyFont="1" applyFill="1" applyBorder="1" applyAlignment="1">
      <alignment horizontal="left" vertical="center"/>
    </xf>
    <xf numFmtId="3" fontId="28" fillId="2" borderId="6" xfId="1" applyNumberFormat="1" applyFont="1" applyFill="1" applyBorder="1" applyAlignment="1">
      <alignment horizontal="left" vertical="center"/>
    </xf>
    <xf numFmtId="0" fontId="35" fillId="2" borderId="6" xfId="0" quotePrefix="1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3" fontId="28" fillId="2" borderId="4" xfId="1" applyNumberFormat="1" applyFont="1" applyFill="1" applyBorder="1" applyAlignment="1">
      <alignment horizontal="left" vertical="center"/>
    </xf>
    <xf numFmtId="49" fontId="31" fillId="2" borderId="2" xfId="2" applyNumberFormat="1" applyFont="1" applyFill="1" applyBorder="1" applyAlignment="1">
      <alignment horizontal="left" vertical="center"/>
    </xf>
    <xf numFmtId="49" fontId="31" fillId="2" borderId="4" xfId="2" applyNumberFormat="1" applyFont="1" applyFill="1" applyBorder="1" applyAlignment="1">
      <alignment horizontal="left" vertical="center"/>
    </xf>
    <xf numFmtId="14" fontId="31" fillId="2" borderId="2" xfId="0" quotePrefix="1" applyNumberFormat="1" applyFont="1" applyFill="1" applyBorder="1" applyAlignment="1">
      <alignment horizontal="center" vertical="center" wrapText="1"/>
    </xf>
    <xf numFmtId="14" fontId="31" fillId="2" borderId="4" xfId="0" quotePrefix="1" applyNumberFormat="1" applyFont="1" applyFill="1" applyBorder="1" applyAlignment="1">
      <alignment horizontal="center" vertical="center" wrapText="1"/>
    </xf>
    <xf numFmtId="0" fontId="34" fillId="2" borderId="2" xfId="0" quotePrefix="1" applyFont="1" applyFill="1" applyBorder="1" applyAlignment="1">
      <alignment horizontal="center" vertical="center"/>
    </xf>
    <xf numFmtId="0" fontId="34" fillId="2" borderId="6" xfId="0" quotePrefix="1" applyFont="1" applyFill="1" applyBorder="1" applyAlignment="1">
      <alignment horizontal="center" vertical="center"/>
    </xf>
    <xf numFmtId="3" fontId="29" fillId="2" borderId="2" xfId="1" applyNumberFormat="1" applyFont="1" applyFill="1" applyBorder="1" applyAlignment="1">
      <alignment horizontal="left" vertical="center"/>
    </xf>
    <xf numFmtId="3" fontId="29" fillId="2" borderId="6" xfId="1" applyNumberFormat="1" applyFont="1" applyFill="1" applyBorder="1" applyAlignment="1">
      <alignment horizontal="left" vertical="center"/>
    </xf>
    <xf numFmtId="11" fontId="35" fillId="2" borderId="2" xfId="0" quotePrefix="1" applyNumberFormat="1" applyFont="1" applyFill="1" applyBorder="1" applyAlignment="1">
      <alignment horizontal="center" vertical="center"/>
    </xf>
    <xf numFmtId="11" fontId="35" fillId="2" borderId="6" xfId="0" quotePrefix="1" applyNumberFormat="1" applyFont="1" applyFill="1" applyBorder="1" applyAlignment="1">
      <alignment horizontal="center" vertical="center"/>
    </xf>
    <xf numFmtId="14" fontId="31" fillId="2" borderId="6" xfId="0" quotePrefix="1" applyNumberFormat="1" applyFont="1" applyFill="1" applyBorder="1" applyAlignment="1">
      <alignment horizontal="center" vertical="center" wrapText="1"/>
    </xf>
    <xf numFmtId="0" fontId="38" fillId="2" borderId="2" xfId="0" quotePrefix="1" applyFont="1" applyFill="1" applyBorder="1" applyAlignment="1">
      <alignment horizontal="center" vertical="center"/>
    </xf>
    <xf numFmtId="0" fontId="38" fillId="2" borderId="6" xfId="0" quotePrefix="1" applyFont="1" applyFill="1" applyBorder="1" applyAlignment="1">
      <alignment horizontal="center" vertical="center"/>
    </xf>
    <xf numFmtId="0" fontId="30" fillId="2" borderId="1" xfId="0" quotePrefix="1" applyFont="1" applyFill="1" applyBorder="1" applyAlignment="1">
      <alignment horizontal="left"/>
    </xf>
    <xf numFmtId="14" fontId="31" fillId="3" borderId="2" xfId="0" quotePrefix="1" applyNumberFormat="1" applyFont="1" applyFill="1" applyBorder="1" applyAlignment="1">
      <alignment horizontal="center" vertical="center" wrapText="1"/>
    </xf>
    <xf numFmtId="14" fontId="31" fillId="3" borderId="6" xfId="0" quotePrefix="1" applyNumberFormat="1" applyFont="1" applyFill="1" applyBorder="1" applyAlignment="1">
      <alignment horizontal="center" vertical="center" wrapText="1"/>
    </xf>
    <xf numFmtId="49" fontId="31" fillId="2" borderId="6" xfId="2" applyNumberFormat="1" applyFont="1" applyFill="1" applyBorder="1" applyAlignment="1">
      <alignment horizontal="left" vertical="center"/>
    </xf>
    <xf numFmtId="0" fontId="30" fillId="6" borderId="1" xfId="0" quotePrefix="1" applyFont="1" applyFill="1" applyBorder="1" applyAlignment="1">
      <alignment horizontal="center" vertical="center"/>
    </xf>
    <xf numFmtId="0" fontId="30" fillId="6" borderId="7" xfId="0" quotePrefix="1" applyFont="1" applyFill="1" applyBorder="1" applyAlignment="1">
      <alignment horizontal="center" vertical="center"/>
    </xf>
    <xf numFmtId="0" fontId="30" fillId="6" borderId="10" xfId="0" quotePrefix="1" applyFont="1" applyFill="1" applyBorder="1" applyAlignment="1">
      <alignment horizontal="center" vertical="center"/>
    </xf>
    <xf numFmtId="0" fontId="30" fillId="6" borderId="11" xfId="0" quotePrefix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65" fontId="0" fillId="0" borderId="1" xfId="3" applyNumberFormat="1" applyFont="1" applyFill="1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5" borderId="6" xfId="0" applyFont="1" applyFill="1" applyBorder="1" applyAlignment="1">
      <alignment horizontal="center"/>
    </xf>
    <xf numFmtId="3" fontId="23" fillId="0" borderId="2" xfId="1" applyNumberFormat="1" applyFont="1" applyBorder="1" applyAlignment="1">
      <alignment horizontal="center" vertical="center"/>
    </xf>
    <xf numFmtId="3" fontId="23" fillId="0" borderId="4" xfId="1" applyNumberFormat="1" applyFont="1" applyBorder="1" applyAlignment="1">
      <alignment horizontal="center" vertical="center"/>
    </xf>
    <xf numFmtId="3" fontId="23" fillId="0" borderId="6" xfId="1" applyNumberFormat="1" applyFont="1" applyBorder="1" applyAlignment="1">
      <alignment horizontal="center" vertical="center"/>
    </xf>
    <xf numFmtId="49" fontId="23" fillId="0" borderId="2" xfId="2" quotePrefix="1" applyNumberFormat="1" applyFont="1" applyFill="1" applyBorder="1" applyAlignment="1">
      <alignment horizontal="center" vertical="center"/>
    </xf>
    <xf numFmtId="49" fontId="23" fillId="0" borderId="4" xfId="2" quotePrefix="1" applyNumberFormat="1" applyFont="1" applyFill="1" applyBorder="1" applyAlignment="1">
      <alignment horizontal="center" vertical="center"/>
    </xf>
    <xf numFmtId="49" fontId="23" fillId="0" borderId="6" xfId="2" quotePrefix="1" applyNumberFormat="1" applyFont="1" applyFill="1" applyBorder="1" applyAlignment="1">
      <alignment horizontal="center" vertical="center"/>
    </xf>
    <xf numFmtId="14" fontId="2" fillId="0" borderId="1" xfId="0" quotePrefix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165" fontId="0" fillId="2" borderId="1" xfId="3" applyNumberFormat="1" applyFont="1" applyFill="1" applyBorder="1" applyAlignment="1">
      <alignment horizontal="center"/>
    </xf>
    <xf numFmtId="11" fontId="1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1" fontId="13" fillId="2" borderId="1" xfId="0" applyNumberFormat="1" applyFont="1" applyFill="1" applyBorder="1" applyAlignment="1">
      <alignment horizontal="center" vertical="center"/>
    </xf>
    <xf numFmtId="14" fontId="2" fillId="2" borderId="1" xfId="0" quotePrefix="1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40" fillId="8" borderId="1" xfId="0" applyFont="1" applyFill="1" applyBorder="1" applyAlignment="1">
      <alignment horizontal="center" vertical="center"/>
    </xf>
    <xf numFmtId="14" fontId="2" fillId="5" borderId="1" xfId="0" quotePrefix="1" applyNumberFormat="1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3" fontId="25" fillId="8" borderId="2" xfId="1" applyNumberFormat="1" applyFont="1" applyFill="1" applyBorder="1" applyAlignment="1">
      <alignment horizontal="center" vertical="center"/>
    </xf>
    <xf numFmtId="3" fontId="25" fillId="8" borderId="4" xfId="1" applyNumberFormat="1" applyFont="1" applyFill="1" applyBorder="1" applyAlignment="1">
      <alignment horizontal="center" vertical="center"/>
    </xf>
    <xf numFmtId="3" fontId="25" fillId="8" borderId="6" xfId="1" applyNumberFormat="1" applyFont="1" applyFill="1" applyBorder="1" applyAlignment="1">
      <alignment horizontal="center" vertical="center"/>
    </xf>
    <xf numFmtId="0" fontId="39" fillId="0" borderId="2" xfId="0" quotePrefix="1" applyFont="1" applyBorder="1" applyAlignment="1">
      <alignment horizontal="center"/>
    </xf>
    <xf numFmtId="0" fontId="39" fillId="0" borderId="4" xfId="0" quotePrefix="1" applyFont="1" applyBorder="1" applyAlignment="1">
      <alignment horizontal="center"/>
    </xf>
    <xf numFmtId="0" fontId="39" fillId="0" borderId="6" xfId="0" quotePrefix="1" applyFont="1" applyBorder="1" applyAlignment="1">
      <alignment horizontal="center"/>
    </xf>
    <xf numFmtId="0" fontId="2" fillId="10" borderId="2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14" fontId="2" fillId="10" borderId="1" xfId="0" quotePrefix="1" applyNumberFormat="1" applyFont="1" applyFill="1" applyBorder="1" applyAlignment="1">
      <alignment horizontal="center" vertical="center"/>
    </xf>
    <xf numFmtId="14" fontId="2" fillId="10" borderId="1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26" fillId="5" borderId="6" xfId="0" applyFont="1" applyFill="1" applyBorder="1" applyAlignment="1">
      <alignment horizontal="center"/>
    </xf>
    <xf numFmtId="165" fontId="0" fillId="10" borderId="1" xfId="3" applyNumberFormat="1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40" fillId="10" borderId="1" xfId="0" applyFont="1" applyFill="1" applyBorder="1" applyAlignment="1">
      <alignment horizontal="center" vertical="center"/>
    </xf>
    <xf numFmtId="0" fontId="13" fillId="10" borderId="2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49" fontId="23" fillId="0" borderId="2" xfId="2" applyNumberFormat="1" applyFont="1" applyFill="1" applyBorder="1" applyAlignment="1">
      <alignment horizontal="center" vertical="center"/>
    </xf>
    <xf numFmtId="49" fontId="23" fillId="0" borderId="4" xfId="2" applyNumberFormat="1" applyFont="1" applyFill="1" applyBorder="1" applyAlignment="1">
      <alignment horizontal="center" vertical="center"/>
    </xf>
    <xf numFmtId="49" fontId="23" fillId="0" borderId="6" xfId="2" applyNumberFormat="1" applyFont="1" applyFill="1" applyBorder="1" applyAlignment="1">
      <alignment horizontal="center" vertical="center"/>
    </xf>
    <xf numFmtId="11" fontId="13" fillId="0" borderId="2" xfId="0" applyNumberFormat="1" applyFont="1" applyBorder="1" applyAlignment="1">
      <alignment horizontal="center" vertical="center"/>
    </xf>
    <xf numFmtId="11" fontId="13" fillId="0" borderId="4" xfId="0" applyNumberFormat="1" applyFont="1" applyBorder="1" applyAlignment="1">
      <alignment horizontal="center" vertical="center"/>
    </xf>
    <xf numFmtId="11" fontId="13" fillId="0" borderId="6" xfId="0" applyNumberFormat="1" applyFont="1" applyBorder="1" applyAlignment="1">
      <alignment horizontal="center" vertical="center"/>
    </xf>
    <xf numFmtId="3" fontId="23" fillId="8" borderId="2" xfId="1" applyNumberFormat="1" applyFont="1" applyFill="1" applyBorder="1" applyAlignment="1">
      <alignment horizontal="center" vertical="center"/>
    </xf>
    <xf numFmtId="3" fontId="23" fillId="8" borderId="4" xfId="1" applyNumberFormat="1" applyFont="1" applyFill="1" applyBorder="1" applyAlignment="1">
      <alignment horizontal="center" vertical="center"/>
    </xf>
    <xf numFmtId="3" fontId="23" fillId="8" borderId="6" xfId="1" applyNumberFormat="1" applyFont="1" applyFill="1" applyBorder="1" applyAlignment="1">
      <alignment horizontal="center" vertical="center"/>
    </xf>
    <xf numFmtId="49" fontId="23" fillId="8" borderId="2" xfId="2" quotePrefix="1" applyNumberFormat="1" applyFont="1" applyFill="1" applyBorder="1" applyAlignment="1">
      <alignment horizontal="center" vertical="center"/>
    </xf>
    <xf numFmtId="49" fontId="23" fillId="8" borderId="4" xfId="2" quotePrefix="1" applyNumberFormat="1" applyFont="1" applyFill="1" applyBorder="1" applyAlignment="1">
      <alignment horizontal="center" vertical="center"/>
    </xf>
    <xf numFmtId="49" fontId="23" fillId="8" borderId="6" xfId="2" quotePrefix="1" applyNumberFormat="1" applyFont="1" applyFill="1" applyBorder="1" applyAlignment="1">
      <alignment horizontal="center" vertical="center"/>
    </xf>
    <xf numFmtId="14" fontId="2" fillId="5" borderId="1" xfId="0" quotePrefix="1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1" fontId="13" fillId="8" borderId="2" xfId="0" applyNumberFormat="1" applyFont="1" applyFill="1" applyBorder="1" applyAlignment="1">
      <alignment horizontal="center" vertical="center"/>
    </xf>
    <xf numFmtId="11" fontId="13" fillId="8" borderId="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0" fillId="8" borderId="1" xfId="3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2" xfId="0" quotePrefix="1" applyNumberFormat="1" applyFont="1" applyFill="1" applyBorder="1" applyAlignment="1">
      <alignment horizontal="center" vertical="center"/>
    </xf>
    <xf numFmtId="14" fontId="2" fillId="5" borderId="4" xfId="0" quotePrefix="1" applyNumberFormat="1" applyFont="1" applyFill="1" applyBorder="1" applyAlignment="1">
      <alignment horizontal="center" vertical="center"/>
    </xf>
    <xf numFmtId="49" fontId="23" fillId="8" borderId="2" xfId="2" applyNumberFormat="1" applyFont="1" applyFill="1" applyBorder="1" applyAlignment="1">
      <alignment horizontal="center" vertical="center"/>
    </xf>
    <xf numFmtId="49" fontId="23" fillId="8" borderId="4" xfId="2" applyNumberFormat="1" applyFont="1" applyFill="1" applyBorder="1" applyAlignment="1">
      <alignment horizontal="center" vertical="center"/>
    </xf>
    <xf numFmtId="49" fontId="23" fillId="8" borderId="6" xfId="2" applyNumberFormat="1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33" fillId="2" borderId="2" xfId="1" applyNumberFormat="1" applyFont="1" applyFill="1" applyBorder="1" applyAlignment="1">
      <alignment horizontal="center" vertical="center"/>
    </xf>
    <xf numFmtId="3" fontId="33" fillId="2" borderId="4" xfId="1" applyNumberFormat="1" applyFont="1" applyFill="1" applyBorder="1" applyAlignment="1">
      <alignment horizontal="center" vertical="center"/>
    </xf>
    <xf numFmtId="3" fontId="33" fillId="2" borderId="6" xfId="1" applyNumberFormat="1" applyFont="1" applyFill="1" applyBorder="1" applyAlignment="1">
      <alignment horizontal="center" vertical="center"/>
    </xf>
    <xf numFmtId="49" fontId="33" fillId="2" borderId="2" xfId="2" quotePrefix="1" applyNumberFormat="1" applyFont="1" applyFill="1" applyBorder="1" applyAlignment="1">
      <alignment horizontal="center" vertical="center"/>
    </xf>
    <xf numFmtId="49" fontId="33" fillId="2" borderId="4" xfId="2" quotePrefix="1" applyNumberFormat="1" applyFont="1" applyFill="1" applyBorder="1" applyAlignment="1">
      <alignment horizontal="center" vertical="center"/>
    </xf>
    <xf numFmtId="49" fontId="33" fillId="2" borderId="6" xfId="2" quotePrefix="1" applyNumberFormat="1" applyFont="1" applyFill="1" applyBorder="1" applyAlignment="1">
      <alignment horizontal="center" vertical="center"/>
    </xf>
    <xf numFmtId="3" fontId="34" fillId="8" borderId="2" xfId="1" applyNumberFormat="1" applyFont="1" applyFill="1" applyBorder="1" applyAlignment="1">
      <alignment horizontal="center" vertical="center"/>
    </xf>
    <xf numFmtId="3" fontId="34" fillId="8" borderId="4" xfId="1" applyNumberFormat="1" applyFont="1" applyFill="1" applyBorder="1" applyAlignment="1">
      <alignment horizontal="center" vertical="center"/>
    </xf>
    <xf numFmtId="3" fontId="34" fillId="8" borderId="6" xfId="1" applyNumberFormat="1" applyFont="1" applyFill="1" applyBorder="1" applyAlignment="1">
      <alignment horizontal="center" vertical="center"/>
    </xf>
    <xf numFmtId="166" fontId="34" fillId="8" borderId="2" xfId="1" quotePrefix="1" applyNumberFormat="1" applyFont="1" applyFill="1" applyBorder="1" applyAlignment="1">
      <alignment horizontal="center" vertical="center"/>
    </xf>
    <xf numFmtId="166" fontId="34" fillId="8" borderId="4" xfId="1" quotePrefix="1" applyNumberFormat="1" applyFont="1" applyFill="1" applyBorder="1" applyAlignment="1">
      <alignment horizontal="center" vertical="center"/>
    </xf>
    <xf numFmtId="166" fontId="34" fillId="8" borderId="6" xfId="1" quotePrefix="1" applyNumberFormat="1" applyFont="1" applyFill="1" applyBorder="1" applyAlignment="1">
      <alignment horizontal="center" vertical="center"/>
    </xf>
    <xf numFmtId="11" fontId="24" fillId="0" borderId="2" xfId="0" applyNumberFormat="1" applyFont="1" applyBorder="1" applyAlignment="1">
      <alignment horizontal="center" vertical="center"/>
    </xf>
    <xf numFmtId="11" fontId="24" fillId="0" borderId="4" xfId="0" applyNumberFormat="1" applyFont="1" applyBorder="1" applyAlignment="1">
      <alignment horizontal="center" vertical="center"/>
    </xf>
    <xf numFmtId="11" fontId="24" fillId="0" borderId="6" xfId="0" applyNumberFormat="1" applyFont="1" applyBorder="1" applyAlignment="1">
      <alignment horizontal="center" vertical="center"/>
    </xf>
    <xf numFmtId="11" fontId="24" fillId="0" borderId="2" xfId="0" quotePrefix="1" applyNumberFormat="1" applyFont="1" applyBorder="1" applyAlignment="1">
      <alignment horizontal="center" vertical="center"/>
    </xf>
    <xf numFmtId="11" fontId="24" fillId="0" borderId="4" xfId="0" quotePrefix="1" applyNumberFormat="1" applyFont="1" applyBorder="1" applyAlignment="1">
      <alignment horizontal="center" vertical="center"/>
    </xf>
    <xf numFmtId="11" fontId="24" fillId="0" borderId="6" xfId="0" quotePrefix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7" borderId="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4">
    <cellStyle name="Comma" xfId="3" builtinId="3"/>
    <cellStyle name="Comma 2 3" xfId="2" xr:uid="{00000000-0005-0000-0000-000001000000}"/>
    <cellStyle name="Normal" xfId="0" builtinId="0"/>
    <cellStyle name="Normal_san luong TÔNG HƠP" xfId="1" xr:uid="{00000000-0005-0000-0000-000003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U30"/>
  <sheetViews>
    <sheetView tabSelected="1" topLeftCell="A10" zoomScale="85" zoomScaleNormal="85" workbookViewId="0">
      <selection activeCell="F24" sqref="F24:L25"/>
    </sheetView>
  </sheetViews>
  <sheetFormatPr defaultColWidth="8.77734375" defaultRowHeight="14.4" x14ac:dyDescent="0.3"/>
  <cols>
    <col min="1" max="1" width="8.77734375" style="3"/>
    <col min="2" max="2" width="29.6640625" style="3" customWidth="1"/>
    <col min="3" max="3" width="12.5546875" style="3" customWidth="1"/>
    <col min="4" max="4" width="14.6640625" style="3" bestFit="1" customWidth="1"/>
    <col min="5" max="5" width="16.109375" style="3" customWidth="1"/>
    <col min="6" max="6" width="20.109375" style="3" customWidth="1"/>
    <col min="7" max="7" width="18.109375" style="3" bestFit="1" customWidth="1"/>
    <col min="8" max="8" width="22.44140625" style="3" bestFit="1" customWidth="1"/>
    <col min="9" max="9" width="15.44140625" style="3" customWidth="1"/>
    <col min="10" max="10" width="11.5546875" style="120" customWidth="1"/>
    <col min="11" max="11" width="21.6640625" style="111" bestFit="1" customWidth="1"/>
    <col min="12" max="14" width="22.21875" style="3" customWidth="1"/>
    <col min="15" max="15" width="14.109375" style="3" customWidth="1"/>
    <col min="16" max="16" width="78.33203125" style="3" customWidth="1"/>
    <col min="17" max="17" width="99.88671875" style="3" customWidth="1"/>
    <col min="18" max="16384" width="8.77734375" style="3"/>
  </cols>
  <sheetData>
    <row r="1" spans="1:17" s="66" customFormat="1" ht="36" x14ac:dyDescent="0.35">
      <c r="A1" s="64" t="s">
        <v>0</v>
      </c>
      <c r="B1" s="64" t="s">
        <v>81</v>
      </c>
      <c r="C1" s="64" t="s">
        <v>82</v>
      </c>
      <c r="D1" s="64" t="s">
        <v>1</v>
      </c>
      <c r="E1" s="64" t="s">
        <v>156</v>
      </c>
      <c r="F1" s="64" t="s">
        <v>2</v>
      </c>
      <c r="G1" s="64" t="s">
        <v>3</v>
      </c>
      <c r="H1" s="64" t="s">
        <v>4</v>
      </c>
      <c r="I1" s="64" t="s">
        <v>5</v>
      </c>
      <c r="J1" s="112"/>
      <c r="K1" s="110" t="s">
        <v>6</v>
      </c>
      <c r="L1" s="64" t="s">
        <v>7</v>
      </c>
      <c r="M1" s="64" t="s">
        <v>3</v>
      </c>
      <c r="N1" s="64" t="s">
        <v>8</v>
      </c>
      <c r="O1" s="64" t="s">
        <v>5</v>
      </c>
      <c r="P1" s="65" t="s">
        <v>9</v>
      </c>
    </row>
    <row r="2" spans="1:17" s="27" customFormat="1" ht="19.8" x14ac:dyDescent="0.35">
      <c r="A2" s="62" t="s">
        <v>10</v>
      </c>
      <c r="B2" s="67" t="s">
        <v>170</v>
      </c>
      <c r="C2" s="70" t="s">
        <v>169</v>
      </c>
      <c r="D2" s="71" t="s">
        <v>11</v>
      </c>
      <c r="E2" s="130" t="s">
        <v>12</v>
      </c>
      <c r="F2" s="126" t="s">
        <v>13</v>
      </c>
      <c r="G2" s="72">
        <v>46821</v>
      </c>
      <c r="H2" s="72">
        <v>46455</v>
      </c>
      <c r="I2" s="73">
        <v>46387</v>
      </c>
      <c r="J2" s="113" t="s">
        <v>160</v>
      </c>
      <c r="K2" s="134" t="s">
        <v>63</v>
      </c>
      <c r="L2" s="85" t="s">
        <v>64</v>
      </c>
      <c r="M2" s="139">
        <v>46281</v>
      </c>
      <c r="N2" s="106" t="s">
        <v>65</v>
      </c>
      <c r="O2" s="50"/>
      <c r="P2" s="124" t="s">
        <v>171</v>
      </c>
      <c r="Q2" s="33" t="s">
        <v>137</v>
      </c>
    </row>
    <row r="3" spans="1:17" s="27" customFormat="1" ht="24" x14ac:dyDescent="0.35">
      <c r="A3" s="62" t="s">
        <v>16</v>
      </c>
      <c r="B3" s="68" t="s">
        <v>98</v>
      </c>
      <c r="C3" s="78" t="s">
        <v>99</v>
      </c>
      <c r="D3" s="71" t="s">
        <v>11</v>
      </c>
      <c r="E3" s="131" t="s">
        <v>12</v>
      </c>
      <c r="F3" s="126" t="s">
        <v>17</v>
      </c>
      <c r="G3" s="72">
        <v>46821</v>
      </c>
      <c r="H3" s="72">
        <v>46455</v>
      </c>
      <c r="I3" s="79">
        <v>46387</v>
      </c>
      <c r="J3" s="114" t="s">
        <v>159</v>
      </c>
      <c r="K3" s="133" t="s">
        <v>18</v>
      </c>
      <c r="L3" s="75" t="s">
        <v>19</v>
      </c>
      <c r="M3" s="80">
        <v>46199</v>
      </c>
      <c r="N3" s="96">
        <v>46569</v>
      </c>
      <c r="O3" s="77">
        <v>46387</v>
      </c>
      <c r="P3" s="81" t="s">
        <v>142</v>
      </c>
      <c r="Q3" s="39" t="s">
        <v>137</v>
      </c>
    </row>
    <row r="4" spans="1:17" ht="19.8" x14ac:dyDescent="0.35">
      <c r="A4" s="63" t="s">
        <v>20</v>
      </c>
      <c r="B4" s="69" t="s">
        <v>83</v>
      </c>
      <c r="C4" s="82" t="s">
        <v>84</v>
      </c>
      <c r="D4" s="83" t="s">
        <v>11</v>
      </c>
      <c r="E4" s="131" t="s">
        <v>12</v>
      </c>
      <c r="F4" s="127" t="s">
        <v>21</v>
      </c>
      <c r="G4" s="84">
        <v>46821</v>
      </c>
      <c r="H4" s="84">
        <v>46455</v>
      </c>
      <c r="I4" s="79">
        <v>46387</v>
      </c>
      <c r="J4" s="115" t="s">
        <v>160</v>
      </c>
      <c r="K4" s="134" t="s">
        <v>14</v>
      </c>
      <c r="L4" s="86" t="s">
        <v>22</v>
      </c>
      <c r="M4" s="87">
        <v>46405</v>
      </c>
      <c r="N4" s="87">
        <v>46429</v>
      </c>
      <c r="O4" s="77">
        <v>46387</v>
      </c>
      <c r="P4" s="88" t="s">
        <v>149</v>
      </c>
      <c r="Q4" s="40"/>
    </row>
    <row r="5" spans="1:17" ht="24" x14ac:dyDescent="0.35">
      <c r="A5" s="63">
        <v>4</v>
      </c>
      <c r="B5" s="69" t="s">
        <v>85</v>
      </c>
      <c r="C5" s="91" t="s">
        <v>86</v>
      </c>
      <c r="D5" s="83" t="s">
        <v>11</v>
      </c>
      <c r="E5" s="131" t="s">
        <v>12</v>
      </c>
      <c r="F5" s="128" t="s">
        <v>25</v>
      </c>
      <c r="G5" s="84">
        <v>46821</v>
      </c>
      <c r="H5" s="84">
        <v>46455</v>
      </c>
      <c r="I5" s="79">
        <v>46387</v>
      </c>
      <c r="J5" s="114" t="s">
        <v>159</v>
      </c>
      <c r="K5" s="134" t="s">
        <v>18</v>
      </c>
      <c r="L5" s="86" t="s">
        <v>26</v>
      </c>
      <c r="M5" s="96">
        <v>46554</v>
      </c>
      <c r="N5" s="96">
        <v>46569</v>
      </c>
      <c r="O5" s="77">
        <v>46387</v>
      </c>
      <c r="P5" s="83" t="s">
        <v>174</v>
      </c>
      <c r="Q5" s="40"/>
    </row>
    <row r="6" spans="1:17" ht="19.8" x14ac:dyDescent="0.35">
      <c r="A6" s="63">
        <v>5</v>
      </c>
      <c r="B6" s="69" t="s">
        <v>87</v>
      </c>
      <c r="C6" s="82" t="s">
        <v>88</v>
      </c>
      <c r="D6" s="83" t="s">
        <v>11</v>
      </c>
      <c r="E6" s="131" t="s">
        <v>12</v>
      </c>
      <c r="F6" s="126" t="s">
        <v>27</v>
      </c>
      <c r="G6" s="84">
        <v>46821</v>
      </c>
      <c r="H6" s="84">
        <v>46455</v>
      </c>
      <c r="I6" s="79">
        <v>46387</v>
      </c>
      <c r="J6" s="115" t="s">
        <v>160</v>
      </c>
      <c r="K6" s="134" t="s">
        <v>18</v>
      </c>
      <c r="L6" s="86" t="s">
        <v>28</v>
      </c>
      <c r="M6" s="92">
        <v>46199</v>
      </c>
      <c r="N6" s="96">
        <v>46569</v>
      </c>
      <c r="O6" s="77">
        <v>46387</v>
      </c>
      <c r="P6" s="93" t="s">
        <v>145</v>
      </c>
      <c r="Q6" s="40"/>
    </row>
    <row r="7" spans="1:17" ht="18" x14ac:dyDescent="0.35">
      <c r="A7" s="161">
        <v>6</v>
      </c>
      <c r="B7" s="169" t="s">
        <v>161</v>
      </c>
      <c r="C7" s="163" t="s">
        <v>162</v>
      </c>
      <c r="D7" s="159" t="s">
        <v>11</v>
      </c>
      <c r="E7" s="165" t="s">
        <v>12</v>
      </c>
      <c r="F7" s="157" t="s">
        <v>23</v>
      </c>
      <c r="G7" s="167">
        <v>46821</v>
      </c>
      <c r="H7" s="167">
        <v>46455</v>
      </c>
      <c r="I7" s="167">
        <v>46387</v>
      </c>
      <c r="J7" s="155" t="s">
        <v>158</v>
      </c>
      <c r="K7" s="133" t="s">
        <v>14</v>
      </c>
      <c r="L7" s="75" t="s">
        <v>15</v>
      </c>
      <c r="M7" s="76">
        <v>46405</v>
      </c>
      <c r="N7" s="76">
        <v>46429</v>
      </c>
      <c r="O7" s="77">
        <v>46387</v>
      </c>
      <c r="P7" s="89" t="s">
        <v>163</v>
      </c>
      <c r="Q7" s="40"/>
    </row>
    <row r="8" spans="1:17" ht="18" x14ac:dyDescent="0.35">
      <c r="A8" s="162"/>
      <c r="B8" s="170"/>
      <c r="C8" s="164"/>
      <c r="D8" s="160"/>
      <c r="E8" s="166"/>
      <c r="F8" s="171"/>
      <c r="G8" s="168"/>
      <c r="H8" s="168"/>
      <c r="I8" s="168"/>
      <c r="J8" s="156"/>
      <c r="K8" s="134" t="s">
        <v>14</v>
      </c>
      <c r="L8" s="90" t="s">
        <v>24</v>
      </c>
      <c r="M8" s="87">
        <v>46405</v>
      </c>
      <c r="N8" s="87">
        <v>46429</v>
      </c>
      <c r="O8" s="77">
        <v>46387</v>
      </c>
      <c r="P8" s="83" t="s">
        <v>164</v>
      </c>
      <c r="Q8" s="40"/>
    </row>
    <row r="9" spans="1:17" ht="18" customHeight="1" x14ac:dyDescent="0.35">
      <c r="A9" s="172">
        <v>7</v>
      </c>
      <c r="B9" s="169" t="s">
        <v>89</v>
      </c>
      <c r="C9" s="174" t="s">
        <v>90</v>
      </c>
      <c r="D9" s="159" t="s">
        <v>29</v>
      </c>
      <c r="E9" s="178" t="s">
        <v>30</v>
      </c>
      <c r="F9" s="157" t="s">
        <v>31</v>
      </c>
      <c r="G9" s="176">
        <v>46697</v>
      </c>
      <c r="H9" s="176">
        <v>46337</v>
      </c>
      <c r="I9" s="121">
        <v>46387</v>
      </c>
      <c r="J9" s="155" t="s">
        <v>158</v>
      </c>
      <c r="K9" s="134" t="s">
        <v>32</v>
      </c>
      <c r="L9" s="74" t="s">
        <v>33</v>
      </c>
      <c r="M9" s="87">
        <v>46463</v>
      </c>
      <c r="N9" s="90">
        <v>46458</v>
      </c>
      <c r="O9" s="77">
        <v>46387</v>
      </c>
      <c r="P9" s="90"/>
      <c r="Q9" s="40"/>
    </row>
    <row r="10" spans="1:17" ht="18" x14ac:dyDescent="0.35">
      <c r="A10" s="172"/>
      <c r="B10" s="173"/>
      <c r="C10" s="175"/>
      <c r="D10" s="160"/>
      <c r="E10" s="179"/>
      <c r="F10" s="158"/>
      <c r="G10" s="177"/>
      <c r="H10" s="177"/>
      <c r="I10" s="121">
        <v>46387</v>
      </c>
      <c r="J10" s="156"/>
      <c r="K10" s="135" t="s">
        <v>34</v>
      </c>
      <c r="L10" s="94" t="s">
        <v>35</v>
      </c>
      <c r="M10" s="87">
        <v>46697</v>
      </c>
      <c r="N10" s="95">
        <v>46331</v>
      </c>
      <c r="O10" s="77">
        <v>46387</v>
      </c>
      <c r="P10" s="90"/>
      <c r="Q10" s="40"/>
    </row>
    <row r="11" spans="1:17" ht="18" x14ac:dyDescent="0.35">
      <c r="A11" s="161">
        <v>8</v>
      </c>
      <c r="B11" s="169" t="s">
        <v>91</v>
      </c>
      <c r="C11" s="153" t="s">
        <v>92</v>
      </c>
      <c r="D11" s="159" t="s">
        <v>29</v>
      </c>
      <c r="E11" s="178" t="s">
        <v>30</v>
      </c>
      <c r="F11" s="182" t="s">
        <v>38</v>
      </c>
      <c r="G11" s="176">
        <v>46697</v>
      </c>
      <c r="H11" s="176">
        <v>46337</v>
      </c>
      <c r="I11" s="121">
        <v>46387</v>
      </c>
      <c r="J11" s="155" t="s">
        <v>158</v>
      </c>
      <c r="K11" s="135" t="s">
        <v>34</v>
      </c>
      <c r="L11" s="85" t="s">
        <v>40</v>
      </c>
      <c r="M11" s="87">
        <v>46697</v>
      </c>
      <c r="N11" s="95">
        <v>46331</v>
      </c>
      <c r="O11" s="77">
        <v>46387</v>
      </c>
      <c r="P11" s="87"/>
      <c r="Q11" s="40"/>
    </row>
    <row r="12" spans="1:17" ht="18" x14ac:dyDescent="0.35">
      <c r="A12" s="162"/>
      <c r="B12" s="170"/>
      <c r="C12" s="154"/>
      <c r="D12" s="160"/>
      <c r="E12" s="179"/>
      <c r="F12" s="183"/>
      <c r="G12" s="184"/>
      <c r="H12" s="184"/>
      <c r="I12" s="121">
        <v>46387</v>
      </c>
      <c r="J12" s="156"/>
      <c r="K12" s="136" t="s">
        <v>34</v>
      </c>
      <c r="L12" s="74" t="s">
        <v>48</v>
      </c>
      <c r="M12" s="96">
        <v>46697</v>
      </c>
      <c r="N12" s="96">
        <v>46331</v>
      </c>
      <c r="O12" s="77">
        <v>46387</v>
      </c>
      <c r="P12" s="87"/>
      <c r="Q12" s="40"/>
    </row>
    <row r="13" spans="1:17" ht="18" customHeight="1" x14ac:dyDescent="0.35">
      <c r="A13" s="161">
        <v>9</v>
      </c>
      <c r="B13" s="169" t="s">
        <v>93</v>
      </c>
      <c r="C13" s="153" t="s">
        <v>94</v>
      </c>
      <c r="D13" s="159" t="s">
        <v>29</v>
      </c>
      <c r="E13" s="178" t="s">
        <v>30</v>
      </c>
      <c r="F13" s="157" t="s">
        <v>41</v>
      </c>
      <c r="G13" s="176">
        <v>46697</v>
      </c>
      <c r="H13" s="176">
        <v>46337</v>
      </c>
      <c r="I13" s="121">
        <v>46387</v>
      </c>
      <c r="J13" s="155" t="s">
        <v>158</v>
      </c>
      <c r="K13" s="137" t="s">
        <v>32</v>
      </c>
      <c r="L13" s="97" t="s">
        <v>44</v>
      </c>
      <c r="M13" s="87">
        <v>46463</v>
      </c>
      <c r="N13" s="90">
        <v>46458</v>
      </c>
      <c r="O13" s="77">
        <v>46387</v>
      </c>
      <c r="P13" s="90"/>
      <c r="Q13" s="40"/>
    </row>
    <row r="14" spans="1:17" ht="18" customHeight="1" x14ac:dyDescent="0.35">
      <c r="A14" s="162"/>
      <c r="B14" s="170"/>
      <c r="C14" s="154"/>
      <c r="D14" s="160"/>
      <c r="E14" s="179"/>
      <c r="F14" s="171"/>
      <c r="G14" s="184"/>
      <c r="H14" s="184"/>
      <c r="I14" s="121">
        <v>46387</v>
      </c>
      <c r="J14" s="156"/>
      <c r="K14" s="134" t="s">
        <v>32</v>
      </c>
      <c r="L14" s="85" t="s">
        <v>39</v>
      </c>
      <c r="M14" s="87">
        <v>46463</v>
      </c>
      <c r="N14" s="90">
        <v>46458</v>
      </c>
      <c r="O14" s="77">
        <v>46387</v>
      </c>
      <c r="P14" s="90"/>
      <c r="Q14" s="40"/>
    </row>
    <row r="15" spans="1:17" ht="18" customHeight="1" x14ac:dyDescent="0.35">
      <c r="A15" s="161">
        <v>10</v>
      </c>
      <c r="B15" s="169" t="s">
        <v>95</v>
      </c>
      <c r="C15" s="153" t="s">
        <v>96</v>
      </c>
      <c r="D15" s="159" t="s">
        <v>29</v>
      </c>
      <c r="E15" s="178" t="s">
        <v>30</v>
      </c>
      <c r="F15" s="182" t="s">
        <v>97</v>
      </c>
      <c r="G15" s="176">
        <v>46697</v>
      </c>
      <c r="H15" s="176">
        <v>46337</v>
      </c>
      <c r="I15" s="121">
        <v>46387</v>
      </c>
      <c r="J15" s="155" t="s">
        <v>158</v>
      </c>
      <c r="K15" s="135" t="s">
        <v>34</v>
      </c>
      <c r="L15" s="97" t="s">
        <v>45</v>
      </c>
      <c r="M15" s="87">
        <v>46697</v>
      </c>
      <c r="N15" s="95">
        <v>46331</v>
      </c>
      <c r="O15" s="77">
        <v>46387</v>
      </c>
      <c r="P15" s="90"/>
      <c r="Q15" s="40"/>
    </row>
    <row r="16" spans="1:17" ht="18" customHeight="1" x14ac:dyDescent="0.35">
      <c r="A16" s="162"/>
      <c r="B16" s="170"/>
      <c r="C16" s="154"/>
      <c r="D16" s="160"/>
      <c r="E16" s="179"/>
      <c r="F16" s="183"/>
      <c r="G16" s="184"/>
      <c r="H16" s="184"/>
      <c r="I16" s="121">
        <v>46387</v>
      </c>
      <c r="J16" s="156"/>
      <c r="K16" s="135" t="s">
        <v>34</v>
      </c>
      <c r="L16" s="97" t="s">
        <v>60</v>
      </c>
      <c r="M16" s="87">
        <v>46697</v>
      </c>
      <c r="N16" s="95">
        <v>46331</v>
      </c>
      <c r="O16" s="77">
        <v>46387</v>
      </c>
      <c r="P16" s="90"/>
      <c r="Q16" s="40"/>
    </row>
    <row r="17" spans="1:21" s="23" customFormat="1" ht="18" customHeight="1" x14ac:dyDescent="0.35">
      <c r="A17" s="161">
        <v>11</v>
      </c>
      <c r="B17" s="169" t="s">
        <v>103</v>
      </c>
      <c r="C17" s="163" t="s">
        <v>104</v>
      </c>
      <c r="D17" s="159" t="s">
        <v>29</v>
      </c>
      <c r="E17" s="178" t="s">
        <v>30</v>
      </c>
      <c r="F17" s="182" t="s">
        <v>46</v>
      </c>
      <c r="G17" s="123">
        <v>46697</v>
      </c>
      <c r="H17" s="123">
        <v>46337</v>
      </c>
      <c r="I17" s="121">
        <v>46387</v>
      </c>
      <c r="J17" s="155" t="s">
        <v>158</v>
      </c>
      <c r="K17" s="133" t="s">
        <v>18</v>
      </c>
      <c r="L17" s="75" t="s">
        <v>61</v>
      </c>
      <c r="M17" s="80">
        <v>46199</v>
      </c>
      <c r="N17" s="96">
        <v>46569</v>
      </c>
      <c r="O17" s="77">
        <v>46387</v>
      </c>
      <c r="P17" s="98"/>
      <c r="Q17" s="41"/>
    </row>
    <row r="18" spans="1:21" s="23" customFormat="1" ht="18" customHeight="1" x14ac:dyDescent="0.35">
      <c r="A18" s="162"/>
      <c r="B18" s="170"/>
      <c r="C18" s="164"/>
      <c r="D18" s="160"/>
      <c r="E18" s="179"/>
      <c r="F18" s="183"/>
      <c r="G18" s="123"/>
      <c r="H18" s="123"/>
      <c r="I18" s="121"/>
      <c r="J18" s="156"/>
      <c r="K18" s="133" t="s">
        <v>32</v>
      </c>
      <c r="L18" s="74" t="s">
        <v>47</v>
      </c>
      <c r="M18" s="96">
        <v>46463</v>
      </c>
      <c r="N18" s="96">
        <v>46458</v>
      </c>
      <c r="O18" s="77">
        <v>46387</v>
      </c>
      <c r="P18" s="98"/>
      <c r="Q18" s="41"/>
    </row>
    <row r="19" spans="1:21" s="29" customFormat="1" ht="17.399999999999999" x14ac:dyDescent="0.35">
      <c r="A19" s="161">
        <v>12</v>
      </c>
      <c r="B19" s="180" t="s">
        <v>153</v>
      </c>
      <c r="C19" s="187" t="s">
        <v>155</v>
      </c>
      <c r="D19" s="159" t="s">
        <v>29</v>
      </c>
      <c r="E19" s="178" t="s">
        <v>30</v>
      </c>
      <c r="F19" s="157" t="s">
        <v>49</v>
      </c>
      <c r="G19" s="176">
        <v>46697</v>
      </c>
      <c r="H19" s="176">
        <v>46337</v>
      </c>
      <c r="I19" s="121">
        <v>46387</v>
      </c>
      <c r="J19" s="155" t="s">
        <v>158</v>
      </c>
      <c r="K19" s="134" t="s">
        <v>18</v>
      </c>
      <c r="L19" s="86" t="s">
        <v>50</v>
      </c>
      <c r="M19" s="92">
        <v>46199</v>
      </c>
      <c r="N19" s="96">
        <v>46569</v>
      </c>
      <c r="O19" s="77">
        <v>46387</v>
      </c>
      <c r="P19" s="90" t="s">
        <v>154</v>
      </c>
      <c r="Q19" s="37" t="s">
        <v>143</v>
      </c>
      <c r="R19" s="30"/>
    </row>
    <row r="20" spans="1:21" s="29" customFormat="1" ht="17.399999999999999" x14ac:dyDescent="0.35">
      <c r="A20" s="162"/>
      <c r="B20" s="181"/>
      <c r="C20" s="187"/>
      <c r="D20" s="160"/>
      <c r="E20" s="179"/>
      <c r="F20" s="171"/>
      <c r="G20" s="184"/>
      <c r="H20" s="184"/>
      <c r="I20" s="121">
        <v>46387</v>
      </c>
      <c r="J20" s="156"/>
      <c r="K20" s="134" t="s">
        <v>18</v>
      </c>
      <c r="L20" s="75" t="s">
        <v>42</v>
      </c>
      <c r="M20" s="96">
        <v>46555</v>
      </c>
      <c r="N20" s="96">
        <v>46569</v>
      </c>
      <c r="O20" s="77">
        <v>46387</v>
      </c>
      <c r="P20" s="152" t="s">
        <v>175</v>
      </c>
      <c r="Q20" s="43"/>
      <c r="R20" s="44"/>
    </row>
    <row r="21" spans="1:21" ht="18" customHeight="1" x14ac:dyDescent="0.35">
      <c r="A21" s="161">
        <v>13</v>
      </c>
      <c r="B21" s="169" t="s">
        <v>100</v>
      </c>
      <c r="C21" s="174" t="s">
        <v>101</v>
      </c>
      <c r="D21" s="159" t="s">
        <v>51</v>
      </c>
      <c r="E21" s="185" t="s">
        <v>52</v>
      </c>
      <c r="F21" s="157" t="s">
        <v>172</v>
      </c>
      <c r="G21" s="188" t="s">
        <v>54</v>
      </c>
      <c r="H21" s="188">
        <v>46224</v>
      </c>
      <c r="I21" s="121">
        <v>46387</v>
      </c>
      <c r="J21" s="155" t="s">
        <v>158</v>
      </c>
      <c r="K21" s="134" t="s">
        <v>32</v>
      </c>
      <c r="L21" s="85" t="s">
        <v>55</v>
      </c>
      <c r="M21" s="87">
        <v>46463</v>
      </c>
      <c r="N21" s="90">
        <v>46458</v>
      </c>
      <c r="O21" s="77">
        <v>46387</v>
      </c>
      <c r="P21" s="89" t="s">
        <v>150</v>
      </c>
      <c r="Q21" s="40"/>
    </row>
    <row r="22" spans="1:21" ht="18" x14ac:dyDescent="0.35">
      <c r="A22" s="162"/>
      <c r="B22" s="170"/>
      <c r="C22" s="190"/>
      <c r="D22" s="160"/>
      <c r="E22" s="186"/>
      <c r="F22" s="158"/>
      <c r="G22" s="189"/>
      <c r="H22" s="189"/>
      <c r="I22" s="121">
        <v>46387</v>
      </c>
      <c r="J22" s="156"/>
      <c r="K22" s="134" t="s">
        <v>52</v>
      </c>
      <c r="L22" s="74" t="s">
        <v>56</v>
      </c>
      <c r="M22" s="92" t="s">
        <v>54</v>
      </c>
      <c r="N22" s="92">
        <v>46224</v>
      </c>
      <c r="O22" s="77">
        <v>46387</v>
      </c>
      <c r="P22" s="87"/>
      <c r="Q22" s="38" t="s">
        <v>141</v>
      </c>
    </row>
    <row r="23" spans="1:21" ht="19.8" x14ac:dyDescent="0.35">
      <c r="A23" s="63">
        <v>14</v>
      </c>
      <c r="B23" s="67" t="s">
        <v>144</v>
      </c>
      <c r="C23" s="78" t="s">
        <v>102</v>
      </c>
      <c r="D23" s="71" t="s">
        <v>51</v>
      </c>
      <c r="E23" s="132" t="s">
        <v>52</v>
      </c>
      <c r="F23" s="129" t="s">
        <v>136</v>
      </c>
      <c r="G23" s="92" t="s">
        <v>58</v>
      </c>
      <c r="H23" s="92">
        <v>46224</v>
      </c>
      <c r="I23" s="121">
        <v>46387</v>
      </c>
      <c r="J23" s="122" t="s">
        <v>158</v>
      </c>
      <c r="K23" s="134" t="s">
        <v>52</v>
      </c>
      <c r="L23" s="85" t="s">
        <v>59</v>
      </c>
      <c r="M23" s="92" t="s">
        <v>58</v>
      </c>
      <c r="N23" s="92">
        <v>46224</v>
      </c>
      <c r="O23" s="77">
        <v>46387</v>
      </c>
      <c r="P23" s="99" t="s">
        <v>146</v>
      </c>
      <c r="Q23" s="42"/>
      <c r="R23" s="42"/>
      <c r="S23" s="42"/>
      <c r="T23" s="42"/>
      <c r="U23" s="42"/>
    </row>
    <row r="24" spans="1:21" s="23" customFormat="1" ht="18" x14ac:dyDescent="0.35">
      <c r="A24" s="62">
        <v>15</v>
      </c>
      <c r="B24" s="62"/>
      <c r="C24" s="71"/>
      <c r="D24" s="71"/>
      <c r="E24" s="100"/>
      <c r="F24" s="71"/>
      <c r="G24" s="101"/>
      <c r="H24" s="101"/>
      <c r="I24" s="102"/>
      <c r="J24" s="116"/>
      <c r="K24" s="133" t="s">
        <v>14</v>
      </c>
      <c r="L24" s="74" t="s">
        <v>62</v>
      </c>
      <c r="M24" s="103">
        <v>46052</v>
      </c>
      <c r="N24" s="96">
        <v>46429</v>
      </c>
      <c r="O24" s="77">
        <v>46387</v>
      </c>
      <c r="P24" s="138"/>
      <c r="Q24" s="36" t="s">
        <v>141</v>
      </c>
    </row>
    <row r="25" spans="1:21" ht="18" x14ac:dyDescent="0.35">
      <c r="A25" s="62">
        <v>17</v>
      </c>
      <c r="B25" s="63"/>
      <c r="C25" s="83"/>
      <c r="D25" s="83"/>
      <c r="E25" s="104"/>
      <c r="F25" s="83"/>
      <c r="G25" s="105"/>
      <c r="H25" s="105"/>
      <c r="I25" s="79">
        <v>46387</v>
      </c>
      <c r="J25" s="117"/>
      <c r="K25" s="135" t="s">
        <v>34</v>
      </c>
      <c r="L25" s="125" t="s">
        <v>36</v>
      </c>
      <c r="M25" s="95">
        <v>46697</v>
      </c>
      <c r="N25" s="95">
        <v>46331</v>
      </c>
      <c r="O25" s="77">
        <v>46387</v>
      </c>
      <c r="P25" s="107" t="s">
        <v>37</v>
      </c>
      <c r="Q25" s="40"/>
    </row>
    <row r="26" spans="1:21" ht="17.399999999999999" x14ac:dyDescent="0.35">
      <c r="A26" s="63">
        <v>18</v>
      </c>
      <c r="B26" s="63"/>
      <c r="C26" s="83"/>
      <c r="D26" s="83" t="s">
        <v>66</v>
      </c>
      <c r="E26" s="83" t="s">
        <v>63</v>
      </c>
      <c r="F26" s="90" t="s">
        <v>67</v>
      </c>
      <c r="G26" s="108">
        <v>46081</v>
      </c>
      <c r="H26" s="109">
        <v>46306</v>
      </c>
      <c r="I26" s="109">
        <v>47483</v>
      </c>
      <c r="J26" s="118"/>
      <c r="K26" s="192" t="s">
        <v>68</v>
      </c>
      <c r="L26" s="193"/>
      <c r="M26" s="193"/>
      <c r="N26" s="193"/>
      <c r="O26" s="193"/>
      <c r="P26" s="194"/>
    </row>
    <row r="27" spans="1:21" ht="17.399999999999999" x14ac:dyDescent="0.35">
      <c r="A27" s="62">
        <v>19</v>
      </c>
      <c r="B27" s="63"/>
      <c r="C27" s="83"/>
      <c r="D27" s="83"/>
      <c r="E27" s="83" t="s">
        <v>69</v>
      </c>
      <c r="F27" s="90" t="s">
        <v>70</v>
      </c>
      <c r="G27" s="109"/>
      <c r="H27" s="109"/>
      <c r="I27" s="109"/>
      <c r="J27" s="118"/>
      <c r="K27" s="192" t="s">
        <v>68</v>
      </c>
      <c r="L27" s="193"/>
      <c r="M27" s="193"/>
      <c r="N27" s="193"/>
      <c r="O27" s="193"/>
      <c r="P27" s="194"/>
    </row>
    <row r="28" spans="1:21" ht="17.399999999999999" x14ac:dyDescent="0.35">
      <c r="A28" s="63">
        <v>20</v>
      </c>
      <c r="B28" s="63"/>
      <c r="C28" s="83"/>
      <c r="D28" s="83"/>
      <c r="E28" s="83" t="s">
        <v>69</v>
      </c>
      <c r="F28" s="90" t="s">
        <v>71</v>
      </c>
      <c r="G28" s="109"/>
      <c r="H28" s="109"/>
      <c r="I28" s="109"/>
      <c r="J28" s="118"/>
      <c r="K28" s="192" t="s">
        <v>68</v>
      </c>
      <c r="L28" s="193"/>
      <c r="M28" s="193"/>
      <c r="N28" s="193"/>
      <c r="O28" s="193"/>
      <c r="P28" s="194"/>
    </row>
    <row r="29" spans="1:21" ht="17.399999999999999" x14ac:dyDescent="0.35">
      <c r="A29" s="62">
        <v>21</v>
      </c>
      <c r="B29" s="63"/>
      <c r="C29" s="83"/>
      <c r="D29" s="83"/>
      <c r="E29" s="83" t="s">
        <v>63</v>
      </c>
      <c r="F29" s="90" t="s">
        <v>72</v>
      </c>
      <c r="G29" s="90"/>
      <c r="H29" s="90"/>
      <c r="I29" s="90"/>
      <c r="J29" s="119"/>
      <c r="K29" s="191" t="s">
        <v>68</v>
      </c>
      <c r="L29" s="191"/>
      <c r="M29" s="191"/>
      <c r="N29" s="191"/>
      <c r="O29" s="191"/>
      <c r="P29" s="191"/>
    </row>
    <row r="30" spans="1:21" ht="17.399999999999999" x14ac:dyDescent="0.35">
      <c r="A30" s="63">
        <v>22</v>
      </c>
      <c r="B30" s="63"/>
      <c r="C30" s="83"/>
      <c r="D30" s="83" t="s">
        <v>139</v>
      </c>
      <c r="E30" s="83" t="s">
        <v>63</v>
      </c>
      <c r="F30" s="90" t="s">
        <v>138</v>
      </c>
      <c r="G30" s="90"/>
      <c r="H30" s="90"/>
      <c r="I30" s="90"/>
      <c r="J30" s="119"/>
      <c r="K30" s="191" t="s">
        <v>68</v>
      </c>
      <c r="L30" s="191"/>
      <c r="M30" s="191"/>
      <c r="N30" s="191"/>
      <c r="O30" s="191"/>
      <c r="P30" s="191"/>
    </row>
  </sheetData>
  <autoFilter ref="A1:P1" xr:uid="{00000000-0009-0000-0000-000000000000}"/>
  <mergeCells count="76">
    <mergeCell ref="J21:J22"/>
    <mergeCell ref="H21:H22"/>
    <mergeCell ref="K30:P30"/>
    <mergeCell ref="K26:P26"/>
    <mergeCell ref="K27:P27"/>
    <mergeCell ref="K28:P28"/>
    <mergeCell ref="K29:P29"/>
    <mergeCell ref="A11:A12"/>
    <mergeCell ref="A15:A16"/>
    <mergeCell ref="B15:B16"/>
    <mergeCell ref="A19:A20"/>
    <mergeCell ref="F19:F20"/>
    <mergeCell ref="F13:F14"/>
    <mergeCell ref="D19:D20"/>
    <mergeCell ref="D15:D16"/>
    <mergeCell ref="D13:D14"/>
    <mergeCell ref="E17:E18"/>
    <mergeCell ref="E19:E20"/>
    <mergeCell ref="A13:A14"/>
    <mergeCell ref="B13:B14"/>
    <mergeCell ref="E13:E14"/>
    <mergeCell ref="E11:E12"/>
    <mergeCell ref="C13:C14"/>
    <mergeCell ref="A21:A22"/>
    <mergeCell ref="B21:B22"/>
    <mergeCell ref="F15:F16"/>
    <mergeCell ref="G15:G16"/>
    <mergeCell ref="F17:F18"/>
    <mergeCell ref="C19:C20"/>
    <mergeCell ref="G21:G22"/>
    <mergeCell ref="G19:G20"/>
    <mergeCell ref="A17:A18"/>
    <mergeCell ref="C17:C18"/>
    <mergeCell ref="D17:D18"/>
    <mergeCell ref="E15:E16"/>
    <mergeCell ref="C21:C22"/>
    <mergeCell ref="C15:C16"/>
    <mergeCell ref="I7:I8"/>
    <mergeCell ref="H7:H8"/>
    <mergeCell ref="B19:B20"/>
    <mergeCell ref="B17:B18"/>
    <mergeCell ref="D21:D22"/>
    <mergeCell ref="D11:D12"/>
    <mergeCell ref="F21:F22"/>
    <mergeCell ref="F11:F12"/>
    <mergeCell ref="G11:G12"/>
    <mergeCell ref="B11:B12"/>
    <mergeCell ref="H13:H14"/>
    <mergeCell ref="G13:G14"/>
    <mergeCell ref="H11:H12"/>
    <mergeCell ref="H15:H16"/>
    <mergeCell ref="H19:H20"/>
    <mergeCell ref="E21:E22"/>
    <mergeCell ref="J7:J8"/>
    <mergeCell ref="J15:J16"/>
    <mergeCell ref="J11:J12"/>
    <mergeCell ref="A7:A8"/>
    <mergeCell ref="C7:C8"/>
    <mergeCell ref="D7:D8"/>
    <mergeCell ref="E7:E8"/>
    <mergeCell ref="G7:G8"/>
    <mergeCell ref="B7:B8"/>
    <mergeCell ref="F7:F8"/>
    <mergeCell ref="A9:A10"/>
    <mergeCell ref="B9:B10"/>
    <mergeCell ref="C9:C10"/>
    <mergeCell ref="G9:G10"/>
    <mergeCell ref="H9:H10"/>
    <mergeCell ref="E9:E10"/>
    <mergeCell ref="C11:C12"/>
    <mergeCell ref="J9:J10"/>
    <mergeCell ref="J13:J14"/>
    <mergeCell ref="J17:J18"/>
    <mergeCell ref="J19:J20"/>
    <mergeCell ref="F9:F10"/>
    <mergeCell ref="D9:D10"/>
  </mergeCells>
  <conditionalFormatting sqref="P1">
    <cfRule type="duplicateValues" dxfId="1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29"/>
  <sheetViews>
    <sheetView topLeftCell="A7" zoomScale="85" zoomScaleNormal="85" workbookViewId="0">
      <selection activeCell="J6" sqref="J6:J8"/>
    </sheetView>
  </sheetViews>
  <sheetFormatPr defaultRowHeight="14.4" x14ac:dyDescent="0.3"/>
  <cols>
    <col min="2" max="2" width="10.21875" bestFit="1" customWidth="1"/>
    <col min="3" max="3" width="23.88671875" customWidth="1"/>
    <col min="4" max="4" width="10.21875" customWidth="1"/>
    <col min="5" max="5" width="12.5546875" bestFit="1" customWidth="1"/>
    <col min="6" max="7" width="14.109375" bestFit="1" customWidth="1"/>
    <col min="11" max="11" width="8.44140625" bestFit="1" customWidth="1"/>
    <col min="12" max="12" width="14.21875" customWidth="1"/>
    <col min="13" max="13" width="11.6640625" customWidth="1"/>
  </cols>
  <sheetData>
    <row r="1" spans="1:13" ht="15.6" x14ac:dyDescent="0.3">
      <c r="A1" s="216" t="s">
        <v>105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3" ht="82.8" customHeight="1" x14ac:dyDescent="0.3">
      <c r="A2" s="24" t="s">
        <v>106</v>
      </c>
      <c r="B2" s="24" t="s">
        <v>107</v>
      </c>
      <c r="C2" s="24" t="s">
        <v>147</v>
      </c>
      <c r="D2" s="24" t="s">
        <v>148</v>
      </c>
      <c r="E2" s="24" t="s">
        <v>108</v>
      </c>
      <c r="F2" s="25" t="s">
        <v>109</v>
      </c>
      <c r="G2" s="25" t="s">
        <v>110</v>
      </c>
      <c r="H2" s="25" t="s">
        <v>114</v>
      </c>
      <c r="I2" s="25" t="s">
        <v>115</v>
      </c>
      <c r="J2" s="25" t="s">
        <v>116</v>
      </c>
      <c r="K2" s="26" t="s">
        <v>117</v>
      </c>
      <c r="L2" s="28" t="s">
        <v>140</v>
      </c>
      <c r="M2" s="28" t="s">
        <v>157</v>
      </c>
    </row>
    <row r="3" spans="1:13" ht="14.4" customHeight="1" x14ac:dyDescent="0.3">
      <c r="A3" s="195">
        <v>1</v>
      </c>
      <c r="B3" s="221" t="s">
        <v>118</v>
      </c>
      <c r="C3" s="205" t="s">
        <v>95</v>
      </c>
      <c r="D3" s="208" t="s">
        <v>96</v>
      </c>
      <c r="E3" s="211" t="s">
        <v>119</v>
      </c>
      <c r="F3" s="198" t="s">
        <v>120</v>
      </c>
      <c r="G3" s="198" t="s">
        <v>120</v>
      </c>
      <c r="H3" s="198">
        <v>9141</v>
      </c>
      <c r="I3" s="199">
        <f>H3+40000</f>
        <v>49141</v>
      </c>
      <c r="J3" s="198">
        <v>48153</v>
      </c>
      <c r="K3" s="201">
        <f>J3-H3</f>
        <v>39012</v>
      </c>
      <c r="L3" s="202"/>
      <c r="M3" s="202"/>
    </row>
    <row r="4" spans="1:13" ht="14.4" customHeight="1" x14ac:dyDescent="0.3">
      <c r="A4" s="196"/>
      <c r="B4" s="221"/>
      <c r="C4" s="206"/>
      <c r="D4" s="209"/>
      <c r="E4" s="211"/>
      <c r="F4" s="198"/>
      <c r="G4" s="198"/>
      <c r="H4" s="198"/>
      <c r="I4" s="199"/>
      <c r="J4" s="198"/>
      <c r="K4" s="201"/>
      <c r="L4" s="203"/>
      <c r="M4" s="203"/>
    </row>
    <row r="5" spans="1:13" ht="14.4" customHeight="1" x14ac:dyDescent="0.3">
      <c r="A5" s="196"/>
      <c r="B5" s="199"/>
      <c r="C5" s="207"/>
      <c r="D5" s="210"/>
      <c r="E5" s="212"/>
      <c r="F5" s="198"/>
      <c r="G5" s="198"/>
      <c r="H5" s="198"/>
      <c r="I5" s="199"/>
      <c r="J5" s="198"/>
      <c r="K5" s="201"/>
      <c r="L5" s="204"/>
      <c r="M5" s="204"/>
    </row>
    <row r="6" spans="1:13" ht="14.4" customHeight="1" x14ac:dyDescent="0.3">
      <c r="A6" s="196"/>
      <c r="B6" s="221" t="s">
        <v>118</v>
      </c>
      <c r="C6" s="205" t="s">
        <v>95</v>
      </c>
      <c r="D6" s="208" t="s">
        <v>96</v>
      </c>
      <c r="E6" s="211">
        <v>46184</v>
      </c>
      <c r="F6" s="198" t="s">
        <v>120</v>
      </c>
      <c r="G6" s="198" t="s">
        <v>120</v>
      </c>
      <c r="H6" s="198">
        <v>48200</v>
      </c>
      <c r="I6" s="199">
        <f>H6+40000</f>
        <v>88200</v>
      </c>
      <c r="J6" s="200">
        <v>49979</v>
      </c>
      <c r="K6" s="201">
        <f>J6-H6</f>
        <v>1779</v>
      </c>
      <c r="L6" s="213"/>
      <c r="M6" s="202">
        <f>I6-J6</f>
        <v>38221</v>
      </c>
    </row>
    <row r="7" spans="1:13" ht="14.4" customHeight="1" x14ac:dyDescent="0.3">
      <c r="A7" s="196"/>
      <c r="B7" s="221"/>
      <c r="C7" s="206"/>
      <c r="D7" s="209"/>
      <c r="E7" s="211"/>
      <c r="F7" s="198"/>
      <c r="G7" s="198"/>
      <c r="H7" s="198"/>
      <c r="I7" s="199"/>
      <c r="J7" s="200"/>
      <c r="K7" s="201"/>
      <c r="L7" s="214"/>
      <c r="M7" s="203"/>
    </row>
    <row r="8" spans="1:13" ht="14.4" customHeight="1" x14ac:dyDescent="0.3">
      <c r="A8" s="197"/>
      <c r="B8" s="199"/>
      <c r="C8" s="207"/>
      <c r="D8" s="210"/>
      <c r="E8" s="212"/>
      <c r="F8" s="198"/>
      <c r="G8" s="198"/>
      <c r="H8" s="198"/>
      <c r="I8" s="199"/>
      <c r="J8" s="200"/>
      <c r="K8" s="201"/>
      <c r="L8" s="215"/>
      <c r="M8" s="204"/>
    </row>
    <row r="9" spans="1:13" ht="14.4" customHeight="1" x14ac:dyDescent="0.3">
      <c r="A9" s="222">
        <v>2</v>
      </c>
      <c r="B9" s="223" t="s">
        <v>124</v>
      </c>
      <c r="C9" s="205" t="s">
        <v>93</v>
      </c>
      <c r="D9" s="208" t="s">
        <v>94</v>
      </c>
      <c r="E9" s="224" t="s">
        <v>125</v>
      </c>
      <c r="F9" s="222" t="s">
        <v>120</v>
      </c>
      <c r="G9" s="222" t="s">
        <v>120</v>
      </c>
      <c r="H9" s="222">
        <v>8000</v>
      </c>
      <c r="I9" s="218">
        <f t="shared" ref="I9" si="0">H9+40000</f>
        <v>48000</v>
      </c>
      <c r="J9" s="219">
        <v>44396</v>
      </c>
      <c r="K9" s="220">
        <f>J9-H9</f>
        <v>36396</v>
      </c>
      <c r="L9" s="202">
        <f t="shared" ref="L9" si="1">I9-J9</f>
        <v>3604</v>
      </c>
      <c r="M9" s="202"/>
    </row>
    <row r="10" spans="1:13" ht="14.4" customHeight="1" x14ac:dyDescent="0.3">
      <c r="A10" s="222"/>
      <c r="B10" s="218"/>
      <c r="C10" s="206"/>
      <c r="D10" s="209"/>
      <c r="E10" s="225"/>
      <c r="F10" s="222"/>
      <c r="G10" s="222"/>
      <c r="H10" s="222"/>
      <c r="I10" s="218"/>
      <c r="J10" s="219"/>
      <c r="K10" s="220"/>
      <c r="L10" s="203"/>
      <c r="M10" s="203"/>
    </row>
    <row r="11" spans="1:13" ht="14.4" customHeight="1" x14ac:dyDescent="0.3">
      <c r="A11" s="222"/>
      <c r="B11" s="218"/>
      <c r="C11" s="207"/>
      <c r="D11" s="210"/>
      <c r="E11" s="225"/>
      <c r="F11" s="222"/>
      <c r="G11" s="222"/>
      <c r="H11" s="222"/>
      <c r="I11" s="218"/>
      <c r="J11" s="219"/>
      <c r="K11" s="220"/>
      <c r="L11" s="204"/>
      <c r="M11" s="204"/>
    </row>
    <row r="12" spans="1:13" ht="14.4" customHeight="1" x14ac:dyDescent="0.3">
      <c r="A12" s="198">
        <v>3</v>
      </c>
      <c r="B12" s="221" t="s">
        <v>126</v>
      </c>
      <c r="C12" s="230" t="s">
        <v>153</v>
      </c>
      <c r="D12" s="233" t="s">
        <v>155</v>
      </c>
      <c r="E12" s="211">
        <v>46006</v>
      </c>
      <c r="F12" s="198" t="s">
        <v>120</v>
      </c>
      <c r="G12" s="198" t="s">
        <v>120</v>
      </c>
      <c r="H12" s="198">
        <v>7936</v>
      </c>
      <c r="I12" s="199">
        <f t="shared" ref="I12" si="2">H12+40000</f>
        <v>47936</v>
      </c>
      <c r="J12" s="226">
        <v>33872</v>
      </c>
      <c r="K12" s="201">
        <f>J12-H12</f>
        <v>25936</v>
      </c>
      <c r="L12" s="202">
        <f t="shared" ref="L12" si="3">I12-J12</f>
        <v>14064</v>
      </c>
      <c r="M12" s="202"/>
    </row>
    <row r="13" spans="1:13" ht="14.4" customHeight="1" x14ac:dyDescent="0.3">
      <c r="A13" s="198"/>
      <c r="B13" s="221"/>
      <c r="C13" s="231"/>
      <c r="D13" s="234"/>
      <c r="E13" s="211"/>
      <c r="F13" s="198"/>
      <c r="G13" s="198"/>
      <c r="H13" s="198"/>
      <c r="I13" s="199"/>
      <c r="J13" s="226"/>
      <c r="K13" s="201"/>
      <c r="L13" s="203"/>
      <c r="M13" s="203"/>
    </row>
    <row r="14" spans="1:13" ht="14.4" customHeight="1" x14ac:dyDescent="0.3">
      <c r="A14" s="198"/>
      <c r="B14" s="199"/>
      <c r="C14" s="232"/>
      <c r="D14" s="235"/>
      <c r="E14" s="212"/>
      <c r="F14" s="198"/>
      <c r="G14" s="198"/>
      <c r="H14" s="198"/>
      <c r="I14" s="199"/>
      <c r="J14" s="226"/>
      <c r="K14" s="201"/>
      <c r="L14" s="204"/>
      <c r="M14" s="204"/>
    </row>
    <row r="15" spans="1:13" ht="14.4" customHeight="1" x14ac:dyDescent="0.3">
      <c r="A15" s="236">
        <v>4</v>
      </c>
      <c r="B15" s="248" t="s">
        <v>127</v>
      </c>
      <c r="C15" s="205" t="s">
        <v>89</v>
      </c>
      <c r="D15" s="251" t="s">
        <v>90</v>
      </c>
      <c r="E15" s="239" t="s">
        <v>128</v>
      </c>
      <c r="F15" s="229" t="s">
        <v>120</v>
      </c>
      <c r="G15" s="229" t="s">
        <v>120</v>
      </c>
      <c r="H15" s="229">
        <v>7188</v>
      </c>
      <c r="I15" s="245">
        <f t="shared" ref="I15" si="4">H15+40000</f>
        <v>47188</v>
      </c>
      <c r="J15" s="229">
        <v>43017</v>
      </c>
      <c r="K15" s="244">
        <f>J15-H15</f>
        <v>35829</v>
      </c>
      <c r="L15" s="241"/>
      <c r="M15" s="202">
        <f>I18-J18</f>
        <v>33573</v>
      </c>
    </row>
    <row r="16" spans="1:13" ht="14.4" customHeight="1" x14ac:dyDescent="0.3">
      <c r="A16" s="237"/>
      <c r="B16" s="249"/>
      <c r="C16" s="206"/>
      <c r="D16" s="252"/>
      <c r="E16" s="240"/>
      <c r="F16" s="229"/>
      <c r="G16" s="229"/>
      <c r="H16" s="229"/>
      <c r="I16" s="245"/>
      <c r="J16" s="229"/>
      <c r="K16" s="244"/>
      <c r="L16" s="242"/>
      <c r="M16" s="203"/>
    </row>
    <row r="17" spans="1:13" ht="14.4" customHeight="1" x14ac:dyDescent="0.3">
      <c r="A17" s="237"/>
      <c r="B17" s="249"/>
      <c r="C17" s="206"/>
      <c r="D17" s="252"/>
      <c r="E17" s="240"/>
      <c r="F17" s="229"/>
      <c r="G17" s="229"/>
      <c r="H17" s="229"/>
      <c r="I17" s="245"/>
      <c r="J17" s="229"/>
      <c r="K17" s="244"/>
      <c r="L17" s="243"/>
      <c r="M17" s="203"/>
    </row>
    <row r="18" spans="1:13" ht="14.4" customHeight="1" x14ac:dyDescent="0.3">
      <c r="A18" s="237"/>
      <c r="B18" s="249"/>
      <c r="C18" s="206"/>
      <c r="D18" s="252"/>
      <c r="E18" s="227">
        <v>46151</v>
      </c>
      <c r="F18" s="229" t="s">
        <v>120</v>
      </c>
      <c r="G18" s="229" t="s">
        <v>120</v>
      </c>
      <c r="H18" s="229">
        <v>43017</v>
      </c>
      <c r="I18" s="245">
        <v>85438</v>
      </c>
      <c r="J18" s="247">
        <v>51865</v>
      </c>
      <c r="K18" s="244">
        <f>J18-H18</f>
        <v>8848</v>
      </c>
      <c r="L18" s="202"/>
      <c r="M18" s="203"/>
    </row>
    <row r="19" spans="1:13" ht="14.4" customHeight="1" x14ac:dyDescent="0.3">
      <c r="A19" s="237"/>
      <c r="B19" s="249"/>
      <c r="C19" s="206"/>
      <c r="D19" s="252"/>
      <c r="E19" s="228"/>
      <c r="F19" s="229"/>
      <c r="G19" s="229"/>
      <c r="H19" s="229"/>
      <c r="I19" s="245"/>
      <c r="J19" s="247"/>
      <c r="K19" s="244"/>
      <c r="L19" s="203"/>
      <c r="M19" s="203"/>
    </row>
    <row r="20" spans="1:13" ht="14.4" customHeight="1" x14ac:dyDescent="0.3">
      <c r="A20" s="238"/>
      <c r="B20" s="250"/>
      <c r="C20" s="207"/>
      <c r="D20" s="253"/>
      <c r="E20" s="228"/>
      <c r="F20" s="229"/>
      <c r="G20" s="229"/>
      <c r="H20" s="229"/>
      <c r="I20" s="245"/>
      <c r="J20" s="247"/>
      <c r="K20" s="244"/>
      <c r="L20" s="204"/>
      <c r="M20" s="204"/>
    </row>
    <row r="21" spans="1:13" ht="14.4" customHeight="1" x14ac:dyDescent="0.3">
      <c r="A21" s="195">
        <v>5</v>
      </c>
      <c r="B21" s="254" t="s">
        <v>129</v>
      </c>
      <c r="C21" s="257" t="s">
        <v>103</v>
      </c>
      <c r="D21" s="260" t="s">
        <v>104</v>
      </c>
      <c r="E21" s="211" t="s">
        <v>130</v>
      </c>
      <c r="F21" s="198" t="s">
        <v>120</v>
      </c>
      <c r="G21" s="198" t="s">
        <v>120</v>
      </c>
      <c r="H21" s="198">
        <v>10023</v>
      </c>
      <c r="I21" s="199">
        <f t="shared" ref="I21" si="5">H21+40000</f>
        <v>50023</v>
      </c>
      <c r="J21" s="246">
        <v>41848</v>
      </c>
      <c r="K21" s="201">
        <f>J21-H21</f>
        <v>31825</v>
      </c>
      <c r="L21" s="202"/>
      <c r="M21" s="202">
        <f>I24-J24</f>
        <v>31940</v>
      </c>
    </row>
    <row r="22" spans="1:13" ht="14.4" customHeight="1" x14ac:dyDescent="0.3">
      <c r="A22" s="196"/>
      <c r="B22" s="255"/>
      <c r="C22" s="258"/>
      <c r="D22" s="261"/>
      <c r="E22" s="211"/>
      <c r="F22" s="198"/>
      <c r="G22" s="198"/>
      <c r="H22" s="198"/>
      <c r="I22" s="199"/>
      <c r="J22" s="246"/>
      <c r="K22" s="201"/>
      <c r="L22" s="203"/>
      <c r="M22" s="203"/>
    </row>
    <row r="23" spans="1:13" ht="14.4" customHeight="1" x14ac:dyDescent="0.3">
      <c r="A23" s="196"/>
      <c r="B23" s="255"/>
      <c r="C23" s="258"/>
      <c r="D23" s="262"/>
      <c r="E23" s="211"/>
      <c r="F23" s="198"/>
      <c r="G23" s="198"/>
      <c r="H23" s="198"/>
      <c r="I23" s="199"/>
      <c r="J23" s="246"/>
      <c r="K23" s="201"/>
      <c r="L23" s="204"/>
      <c r="M23" s="203"/>
    </row>
    <row r="24" spans="1:13" ht="14.4" customHeight="1" x14ac:dyDescent="0.3">
      <c r="A24" s="196"/>
      <c r="B24" s="255"/>
      <c r="C24" s="258"/>
      <c r="D24" s="260" t="s">
        <v>104</v>
      </c>
      <c r="E24" s="263">
        <v>46156</v>
      </c>
      <c r="F24" s="198" t="s">
        <v>120</v>
      </c>
      <c r="G24" s="198" t="s">
        <v>120</v>
      </c>
      <c r="H24" s="198">
        <v>41848</v>
      </c>
      <c r="I24" s="199">
        <v>84185</v>
      </c>
      <c r="J24" s="226">
        <v>52245</v>
      </c>
      <c r="K24" s="201">
        <f>J24-H24</f>
        <v>10397</v>
      </c>
      <c r="L24" s="202"/>
      <c r="M24" s="203"/>
    </row>
    <row r="25" spans="1:13" ht="14.4" customHeight="1" x14ac:dyDescent="0.3">
      <c r="A25" s="196"/>
      <c r="B25" s="255"/>
      <c r="C25" s="258"/>
      <c r="D25" s="261"/>
      <c r="E25" s="263"/>
      <c r="F25" s="198"/>
      <c r="G25" s="198"/>
      <c r="H25" s="198"/>
      <c r="I25" s="199"/>
      <c r="J25" s="226"/>
      <c r="K25" s="201"/>
      <c r="L25" s="203"/>
      <c r="M25" s="203"/>
    </row>
    <row r="26" spans="1:13" ht="14.4" customHeight="1" x14ac:dyDescent="0.3">
      <c r="A26" s="197"/>
      <c r="B26" s="256"/>
      <c r="C26" s="259"/>
      <c r="D26" s="262"/>
      <c r="E26" s="263"/>
      <c r="F26" s="198"/>
      <c r="G26" s="198"/>
      <c r="H26" s="198"/>
      <c r="I26" s="199"/>
      <c r="J26" s="226"/>
      <c r="K26" s="201"/>
      <c r="L26" s="204"/>
      <c r="M26" s="204"/>
    </row>
    <row r="27" spans="1:13" ht="14.4" customHeight="1" x14ac:dyDescent="0.3">
      <c r="A27" s="222">
        <v>6</v>
      </c>
      <c r="B27" s="223" t="s">
        <v>131</v>
      </c>
      <c r="C27" s="205" t="s">
        <v>91</v>
      </c>
      <c r="D27" s="208" t="s">
        <v>92</v>
      </c>
      <c r="E27" s="224" t="s">
        <v>130</v>
      </c>
      <c r="F27" s="222" t="s">
        <v>120</v>
      </c>
      <c r="G27" s="222" t="s">
        <v>120</v>
      </c>
      <c r="H27" s="222">
        <v>8539</v>
      </c>
      <c r="I27" s="218">
        <f t="shared" ref="I27" si="6">H27+40000</f>
        <v>48539</v>
      </c>
      <c r="J27" s="219">
        <v>38029</v>
      </c>
      <c r="K27" s="220">
        <f>J27-H27</f>
        <v>29490</v>
      </c>
      <c r="L27" s="202">
        <f t="shared" ref="L27" si="7">I27-J27</f>
        <v>10510</v>
      </c>
      <c r="M27" s="202"/>
    </row>
    <row r="28" spans="1:13" ht="14.4" customHeight="1" x14ac:dyDescent="0.3">
      <c r="A28" s="222"/>
      <c r="B28" s="223"/>
      <c r="C28" s="206"/>
      <c r="D28" s="209"/>
      <c r="E28" s="224"/>
      <c r="F28" s="222"/>
      <c r="G28" s="222"/>
      <c r="H28" s="222"/>
      <c r="I28" s="218"/>
      <c r="J28" s="219"/>
      <c r="K28" s="220"/>
      <c r="L28" s="203"/>
      <c r="M28" s="203"/>
    </row>
    <row r="29" spans="1:13" ht="14.4" customHeight="1" x14ac:dyDescent="0.3">
      <c r="A29" s="222"/>
      <c r="B29" s="218"/>
      <c r="C29" s="207"/>
      <c r="D29" s="210"/>
      <c r="E29" s="224"/>
      <c r="F29" s="222"/>
      <c r="G29" s="222"/>
      <c r="H29" s="222"/>
      <c r="I29" s="218"/>
      <c r="J29" s="219"/>
      <c r="K29" s="220"/>
      <c r="L29" s="204"/>
      <c r="M29" s="204"/>
    </row>
  </sheetData>
  <mergeCells count="108">
    <mergeCell ref="M27:M29"/>
    <mergeCell ref="B15:B20"/>
    <mergeCell ref="C15:C20"/>
    <mergeCell ref="D15:D20"/>
    <mergeCell ref="B21:B26"/>
    <mergeCell ref="C21:C26"/>
    <mergeCell ref="M15:M20"/>
    <mergeCell ref="M21:M26"/>
    <mergeCell ref="D21:D23"/>
    <mergeCell ref="D24:D26"/>
    <mergeCell ref="E24:E26"/>
    <mergeCell ref="C27:C29"/>
    <mergeCell ref="D27:D29"/>
    <mergeCell ref="L18:L20"/>
    <mergeCell ref="H18:H20"/>
    <mergeCell ref="I18:I20"/>
    <mergeCell ref="L27:L29"/>
    <mergeCell ref="L24:L26"/>
    <mergeCell ref="H24:H26"/>
    <mergeCell ref="I27:I29"/>
    <mergeCell ref="J27:J29"/>
    <mergeCell ref="K27:K29"/>
    <mergeCell ref="K24:K26"/>
    <mergeCell ref="I24:I26"/>
    <mergeCell ref="M9:M11"/>
    <mergeCell ref="M12:M14"/>
    <mergeCell ref="E15:E17"/>
    <mergeCell ref="G21:G23"/>
    <mergeCell ref="H21:H23"/>
    <mergeCell ref="E21:E23"/>
    <mergeCell ref="F21:F23"/>
    <mergeCell ref="H9:H11"/>
    <mergeCell ref="L12:L14"/>
    <mergeCell ref="L15:L17"/>
    <mergeCell ref="K12:K14"/>
    <mergeCell ref="L21:L23"/>
    <mergeCell ref="H12:H14"/>
    <mergeCell ref="I12:I14"/>
    <mergeCell ref="K18:K20"/>
    <mergeCell ref="K21:K23"/>
    <mergeCell ref="H15:H17"/>
    <mergeCell ref="I15:I17"/>
    <mergeCell ref="J15:J17"/>
    <mergeCell ref="I21:I23"/>
    <mergeCell ref="J21:J23"/>
    <mergeCell ref="K15:K17"/>
    <mergeCell ref="J12:J14"/>
    <mergeCell ref="J18:J20"/>
    <mergeCell ref="J24:J26"/>
    <mergeCell ref="H27:H29"/>
    <mergeCell ref="A27:A29"/>
    <mergeCell ref="A21:A26"/>
    <mergeCell ref="G24:G26"/>
    <mergeCell ref="B12:B14"/>
    <mergeCell ref="E12:E14"/>
    <mergeCell ref="F12:F14"/>
    <mergeCell ref="G12:G14"/>
    <mergeCell ref="B27:B29"/>
    <mergeCell ref="E27:E29"/>
    <mergeCell ref="F27:F29"/>
    <mergeCell ref="G27:G29"/>
    <mergeCell ref="E18:E20"/>
    <mergeCell ref="F18:F20"/>
    <mergeCell ref="G18:G20"/>
    <mergeCell ref="F24:F26"/>
    <mergeCell ref="A12:A14"/>
    <mergeCell ref="F15:F17"/>
    <mergeCell ref="G15:G17"/>
    <mergeCell ref="C12:C14"/>
    <mergeCell ref="D12:D14"/>
    <mergeCell ref="A15:A20"/>
    <mergeCell ref="A1:L1"/>
    <mergeCell ref="L3:L5"/>
    <mergeCell ref="I9:I11"/>
    <mergeCell ref="J9:J11"/>
    <mergeCell ref="K9:K11"/>
    <mergeCell ref="F3:F5"/>
    <mergeCell ref="G3:G5"/>
    <mergeCell ref="H3:H5"/>
    <mergeCell ref="E3:E5"/>
    <mergeCell ref="L9:L11"/>
    <mergeCell ref="C3:C5"/>
    <mergeCell ref="D3:D5"/>
    <mergeCell ref="I3:I5"/>
    <mergeCell ref="J3:J5"/>
    <mergeCell ref="K3:K5"/>
    <mergeCell ref="B6:B8"/>
    <mergeCell ref="B3:B5"/>
    <mergeCell ref="A9:A11"/>
    <mergeCell ref="B9:B11"/>
    <mergeCell ref="E9:E11"/>
    <mergeCell ref="F9:F11"/>
    <mergeCell ref="G9:G11"/>
    <mergeCell ref="D9:D11"/>
    <mergeCell ref="C9:C11"/>
    <mergeCell ref="A3:A8"/>
    <mergeCell ref="H6:H8"/>
    <mergeCell ref="I6:I8"/>
    <mergeCell ref="J6:J8"/>
    <mergeCell ref="K6:K8"/>
    <mergeCell ref="M6:M8"/>
    <mergeCell ref="C6:C8"/>
    <mergeCell ref="D6:D8"/>
    <mergeCell ref="E6:E8"/>
    <mergeCell ref="F6:F8"/>
    <mergeCell ref="G6:G8"/>
    <mergeCell ref="M3:M5"/>
    <mergeCell ref="L6:L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L20"/>
  <sheetViews>
    <sheetView workbookViewId="0">
      <selection activeCell="P7" sqref="P7"/>
    </sheetView>
  </sheetViews>
  <sheetFormatPr defaultRowHeight="14.4" x14ac:dyDescent="0.3"/>
  <cols>
    <col min="2" max="2" width="10.21875" bestFit="1" customWidth="1"/>
    <col min="3" max="3" width="19.88671875" bestFit="1" customWidth="1"/>
    <col min="4" max="4" width="12.6640625" customWidth="1"/>
    <col min="5" max="5" width="12.5546875" bestFit="1" customWidth="1"/>
    <col min="6" max="7" width="14.109375" bestFit="1" customWidth="1"/>
    <col min="11" max="11" width="8.44140625" bestFit="1" customWidth="1"/>
    <col min="12" max="12" width="14.21875" customWidth="1"/>
  </cols>
  <sheetData>
    <row r="1" spans="1:12" ht="15.6" x14ac:dyDescent="0.3">
      <c r="A1" s="216" t="s">
        <v>105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</row>
    <row r="2" spans="1:12" ht="82.8" customHeight="1" x14ac:dyDescent="0.3">
      <c r="A2" s="24" t="s">
        <v>106</v>
      </c>
      <c r="B2" s="24" t="s">
        <v>107</v>
      </c>
      <c r="C2" s="24" t="s">
        <v>147</v>
      </c>
      <c r="D2" s="24" t="s">
        <v>148</v>
      </c>
      <c r="E2" s="24" t="s">
        <v>108</v>
      </c>
      <c r="F2" s="25" t="s">
        <v>109</v>
      </c>
      <c r="G2" s="25" t="s">
        <v>110</v>
      </c>
      <c r="H2" s="25" t="s">
        <v>114</v>
      </c>
      <c r="I2" s="25" t="s">
        <v>115</v>
      </c>
      <c r="J2" s="25" t="s">
        <v>116</v>
      </c>
      <c r="K2" s="26" t="s">
        <v>117</v>
      </c>
      <c r="L2" s="28" t="s">
        <v>140</v>
      </c>
    </row>
    <row r="3" spans="1:12" x14ac:dyDescent="0.3">
      <c r="A3" s="264">
        <v>1</v>
      </c>
      <c r="B3" s="266" t="s">
        <v>21</v>
      </c>
      <c r="C3" s="205" t="s">
        <v>83</v>
      </c>
      <c r="D3" s="251" t="s">
        <v>84</v>
      </c>
      <c r="E3" s="271">
        <v>46153</v>
      </c>
      <c r="F3" s="264" t="s">
        <v>11</v>
      </c>
      <c r="G3" s="264"/>
      <c r="H3" s="246">
        <v>10000</v>
      </c>
      <c r="I3" s="278">
        <v>45000</v>
      </c>
      <c r="J3" s="246">
        <v>16912</v>
      </c>
      <c r="K3" s="270">
        <f>J3-H3</f>
        <v>6912</v>
      </c>
      <c r="L3" s="269">
        <f>I3-J3</f>
        <v>28088</v>
      </c>
    </row>
    <row r="4" spans="1:12" ht="16.8" customHeight="1" x14ac:dyDescent="0.3">
      <c r="A4" s="265"/>
      <c r="B4" s="267"/>
      <c r="C4" s="206"/>
      <c r="D4" s="252"/>
      <c r="E4" s="272"/>
      <c r="F4" s="265"/>
      <c r="G4" s="265"/>
      <c r="H4" s="246"/>
      <c r="I4" s="268"/>
      <c r="J4" s="246"/>
      <c r="K4" s="270"/>
      <c r="L4" s="269"/>
    </row>
    <row r="5" spans="1:12" x14ac:dyDescent="0.3">
      <c r="A5" s="265"/>
      <c r="B5" s="268"/>
      <c r="C5" s="207"/>
      <c r="D5" s="253"/>
      <c r="E5" s="272"/>
      <c r="F5" s="265"/>
      <c r="G5" s="265"/>
      <c r="H5" s="246"/>
      <c r="I5" s="279"/>
      <c r="J5" s="246"/>
      <c r="K5" s="270"/>
      <c r="L5" s="269"/>
    </row>
    <row r="6" spans="1:12" ht="18" customHeight="1" x14ac:dyDescent="0.3">
      <c r="A6" s="280">
        <v>2</v>
      </c>
      <c r="B6" s="223" t="s">
        <v>13</v>
      </c>
      <c r="C6" s="288" t="s">
        <v>170</v>
      </c>
      <c r="D6" s="291" t="s">
        <v>169</v>
      </c>
      <c r="E6" s="271">
        <v>46155</v>
      </c>
      <c r="F6" s="222" t="s">
        <v>11</v>
      </c>
      <c r="G6" s="222"/>
      <c r="H6" s="222">
        <v>10000</v>
      </c>
      <c r="I6" s="278">
        <v>45000</v>
      </c>
      <c r="J6" s="222">
        <v>12936</v>
      </c>
      <c r="K6" s="220">
        <f>J6-H6</f>
        <v>2936</v>
      </c>
      <c r="L6" s="269">
        <f t="shared" ref="L6" si="0">I6-J6</f>
        <v>32064</v>
      </c>
    </row>
    <row r="7" spans="1:12" x14ac:dyDescent="0.3">
      <c r="A7" s="280"/>
      <c r="B7" s="223"/>
      <c r="C7" s="289"/>
      <c r="D7" s="292"/>
      <c r="E7" s="272"/>
      <c r="F7" s="222"/>
      <c r="G7" s="222"/>
      <c r="H7" s="222"/>
      <c r="I7" s="268"/>
      <c r="J7" s="222"/>
      <c r="K7" s="220"/>
      <c r="L7" s="269"/>
    </row>
    <row r="8" spans="1:12" x14ac:dyDescent="0.3">
      <c r="A8" s="281"/>
      <c r="B8" s="223"/>
      <c r="C8" s="290"/>
      <c r="D8" s="293"/>
      <c r="E8" s="272"/>
      <c r="F8" s="222"/>
      <c r="G8" s="222"/>
      <c r="H8" s="222"/>
      <c r="I8" s="279"/>
      <c r="J8" s="222"/>
      <c r="K8" s="220"/>
      <c r="L8" s="269"/>
    </row>
    <row r="9" spans="1:12" x14ac:dyDescent="0.3">
      <c r="A9" s="264">
        <v>3</v>
      </c>
      <c r="B9" s="266" t="s">
        <v>27</v>
      </c>
      <c r="C9" s="205" t="s">
        <v>87</v>
      </c>
      <c r="D9" s="251" t="s">
        <v>88</v>
      </c>
      <c r="E9" s="273">
        <v>46149</v>
      </c>
      <c r="F9" s="264" t="s">
        <v>11</v>
      </c>
      <c r="G9" s="264"/>
      <c r="H9" s="246">
        <v>10000</v>
      </c>
      <c r="I9" s="278">
        <v>45000</v>
      </c>
      <c r="J9" s="246">
        <v>15033</v>
      </c>
      <c r="K9" s="270">
        <f>J9-H9</f>
        <v>5033</v>
      </c>
      <c r="L9" s="269">
        <f t="shared" ref="L9" si="1">I9-J9</f>
        <v>29967</v>
      </c>
    </row>
    <row r="10" spans="1:12" ht="16.8" customHeight="1" x14ac:dyDescent="0.3">
      <c r="A10" s="265"/>
      <c r="B10" s="267"/>
      <c r="C10" s="206"/>
      <c r="D10" s="252"/>
      <c r="E10" s="274"/>
      <c r="F10" s="265"/>
      <c r="G10" s="265"/>
      <c r="H10" s="246"/>
      <c r="I10" s="268"/>
      <c r="J10" s="246"/>
      <c r="K10" s="270"/>
      <c r="L10" s="269"/>
    </row>
    <row r="11" spans="1:12" x14ac:dyDescent="0.3">
      <c r="A11" s="265"/>
      <c r="B11" s="268"/>
      <c r="C11" s="207"/>
      <c r="D11" s="253"/>
      <c r="E11" s="274"/>
      <c r="F11" s="265"/>
      <c r="G11" s="265"/>
      <c r="H11" s="246"/>
      <c r="I11" s="279"/>
      <c r="J11" s="246"/>
      <c r="K11" s="270"/>
      <c r="L11" s="269"/>
    </row>
    <row r="12" spans="1:12" ht="14.4" customHeight="1" x14ac:dyDescent="0.3">
      <c r="A12" s="222">
        <v>4</v>
      </c>
      <c r="B12" s="223" t="s">
        <v>23</v>
      </c>
      <c r="C12" s="282" t="s">
        <v>161</v>
      </c>
      <c r="D12" s="285" t="s">
        <v>162</v>
      </c>
      <c r="E12" s="271">
        <v>46155</v>
      </c>
      <c r="F12" s="222" t="s">
        <v>11</v>
      </c>
      <c r="G12" s="222"/>
      <c r="H12" s="222">
        <v>10000</v>
      </c>
      <c r="I12" s="278">
        <v>45000</v>
      </c>
      <c r="J12" s="222">
        <v>16878</v>
      </c>
      <c r="K12" s="220">
        <f>J12-H12</f>
        <v>6878</v>
      </c>
      <c r="L12" s="269">
        <f t="shared" ref="L12" si="2">I12-J12</f>
        <v>28122</v>
      </c>
    </row>
    <row r="13" spans="1:12" ht="16.8" customHeight="1" x14ac:dyDescent="0.3">
      <c r="A13" s="222"/>
      <c r="B13" s="223"/>
      <c r="C13" s="283"/>
      <c r="D13" s="286"/>
      <c r="E13" s="272"/>
      <c r="F13" s="222"/>
      <c r="G13" s="222"/>
      <c r="H13" s="222"/>
      <c r="I13" s="268"/>
      <c r="J13" s="222"/>
      <c r="K13" s="220"/>
      <c r="L13" s="269"/>
    </row>
    <row r="14" spans="1:12" x14ac:dyDescent="0.3">
      <c r="A14" s="222"/>
      <c r="B14" s="223"/>
      <c r="C14" s="284"/>
      <c r="D14" s="287"/>
      <c r="E14" s="272"/>
      <c r="F14" s="222"/>
      <c r="G14" s="222"/>
      <c r="H14" s="222"/>
      <c r="I14" s="279"/>
      <c r="J14" s="222"/>
      <c r="K14" s="220"/>
      <c r="L14" s="269"/>
    </row>
    <row r="15" spans="1:12" x14ac:dyDescent="0.3">
      <c r="A15" s="264">
        <v>5</v>
      </c>
      <c r="B15" s="266" t="s">
        <v>17</v>
      </c>
      <c r="C15" s="257" t="s">
        <v>98</v>
      </c>
      <c r="D15" s="275" t="s">
        <v>99</v>
      </c>
      <c r="E15" s="273">
        <v>46156</v>
      </c>
      <c r="F15" s="264" t="s">
        <v>11</v>
      </c>
      <c r="G15" s="264"/>
      <c r="H15" s="246">
        <v>10000</v>
      </c>
      <c r="I15" s="278">
        <v>45000</v>
      </c>
      <c r="J15" s="246">
        <v>12139</v>
      </c>
      <c r="K15" s="270">
        <f>J15-H15</f>
        <v>2139</v>
      </c>
      <c r="L15" s="269">
        <f t="shared" ref="L15" si="3">I15-J15</f>
        <v>32861</v>
      </c>
    </row>
    <row r="16" spans="1:12" ht="16.8" customHeight="1" x14ac:dyDescent="0.3">
      <c r="A16" s="265"/>
      <c r="B16" s="267"/>
      <c r="C16" s="258"/>
      <c r="D16" s="276"/>
      <c r="E16" s="274"/>
      <c r="F16" s="265"/>
      <c r="G16" s="265"/>
      <c r="H16" s="246"/>
      <c r="I16" s="268"/>
      <c r="J16" s="246"/>
      <c r="K16" s="270"/>
      <c r="L16" s="269"/>
    </row>
    <row r="17" spans="1:12" x14ac:dyDescent="0.3">
      <c r="A17" s="265"/>
      <c r="B17" s="268"/>
      <c r="C17" s="259"/>
      <c r="D17" s="277"/>
      <c r="E17" s="274"/>
      <c r="F17" s="265"/>
      <c r="G17" s="265"/>
      <c r="H17" s="246"/>
      <c r="I17" s="279"/>
      <c r="J17" s="246"/>
      <c r="K17" s="270"/>
      <c r="L17" s="269"/>
    </row>
    <row r="18" spans="1:12" x14ac:dyDescent="0.3">
      <c r="A18" s="222">
        <v>6</v>
      </c>
      <c r="B18" s="223" t="s">
        <v>25</v>
      </c>
      <c r="C18" s="205" t="s">
        <v>85</v>
      </c>
      <c r="D18" s="208" t="s">
        <v>86</v>
      </c>
      <c r="E18" s="271">
        <v>46153</v>
      </c>
      <c r="F18" s="222" t="s">
        <v>11</v>
      </c>
      <c r="G18" s="222"/>
      <c r="H18" s="222">
        <v>10000</v>
      </c>
      <c r="I18" s="278">
        <v>45000</v>
      </c>
      <c r="J18" s="222">
        <v>13106</v>
      </c>
      <c r="K18" s="220">
        <f>J18-H18</f>
        <v>3106</v>
      </c>
      <c r="L18" s="269">
        <f t="shared" ref="L18" si="4">I18-J18</f>
        <v>31894</v>
      </c>
    </row>
    <row r="19" spans="1:12" ht="16.8" customHeight="1" x14ac:dyDescent="0.3">
      <c r="A19" s="222"/>
      <c r="B19" s="223"/>
      <c r="C19" s="206"/>
      <c r="D19" s="209"/>
      <c r="E19" s="272"/>
      <c r="F19" s="222"/>
      <c r="G19" s="222"/>
      <c r="H19" s="222"/>
      <c r="I19" s="268"/>
      <c r="J19" s="222"/>
      <c r="K19" s="220"/>
      <c r="L19" s="269"/>
    </row>
    <row r="20" spans="1:12" x14ac:dyDescent="0.3">
      <c r="A20" s="222"/>
      <c r="B20" s="223"/>
      <c r="C20" s="207"/>
      <c r="D20" s="210"/>
      <c r="E20" s="272"/>
      <c r="F20" s="222"/>
      <c r="G20" s="222"/>
      <c r="H20" s="222"/>
      <c r="I20" s="279"/>
      <c r="J20" s="222"/>
      <c r="K20" s="220"/>
      <c r="L20" s="269"/>
    </row>
  </sheetData>
  <mergeCells count="73">
    <mergeCell ref="A1:L1"/>
    <mergeCell ref="J3:J5"/>
    <mergeCell ref="K3:K5"/>
    <mergeCell ref="A3:A5"/>
    <mergeCell ref="B3:B5"/>
    <mergeCell ref="E3:E5"/>
    <mergeCell ref="F3:F5"/>
    <mergeCell ref="G3:G5"/>
    <mergeCell ref="H3:H5"/>
    <mergeCell ref="C3:C5"/>
    <mergeCell ref="D3:D5"/>
    <mergeCell ref="I3:I5"/>
    <mergeCell ref="L3:L5"/>
    <mergeCell ref="B6:B8"/>
    <mergeCell ref="G6:G8"/>
    <mergeCell ref="C12:C14"/>
    <mergeCell ref="D12:D14"/>
    <mergeCell ref="F6:F8"/>
    <mergeCell ref="E6:E8"/>
    <mergeCell ref="C6:C8"/>
    <mergeCell ref="D6:D8"/>
    <mergeCell ref="H6:H8"/>
    <mergeCell ref="I9:I11"/>
    <mergeCell ref="I12:I14"/>
    <mergeCell ref="K12:K14"/>
    <mergeCell ref="L9:L11"/>
    <mergeCell ref="L12:L14"/>
    <mergeCell ref="L6:L8"/>
    <mergeCell ref="K6:K8"/>
    <mergeCell ref="K9:K11"/>
    <mergeCell ref="J6:J8"/>
    <mergeCell ref="H9:H11"/>
    <mergeCell ref="J9:J11"/>
    <mergeCell ref="A6:A8"/>
    <mergeCell ref="I6:I8"/>
    <mergeCell ref="J12:J14"/>
    <mergeCell ref="H12:H14"/>
    <mergeCell ref="A12:A14"/>
    <mergeCell ref="B12:B14"/>
    <mergeCell ref="E12:E14"/>
    <mergeCell ref="G12:G14"/>
    <mergeCell ref="F12:F14"/>
    <mergeCell ref="A9:A11"/>
    <mergeCell ref="B9:B11"/>
    <mergeCell ref="E9:E11"/>
    <mergeCell ref="F9:F11"/>
    <mergeCell ref="G9:G11"/>
    <mergeCell ref="C9:C11"/>
    <mergeCell ref="D9:D11"/>
    <mergeCell ref="C18:C20"/>
    <mergeCell ref="D18:D20"/>
    <mergeCell ref="D15:D17"/>
    <mergeCell ref="H18:H20"/>
    <mergeCell ref="J18:J20"/>
    <mergeCell ref="I15:I17"/>
    <mergeCell ref="I18:I20"/>
    <mergeCell ref="H15:H17"/>
    <mergeCell ref="A15:A17"/>
    <mergeCell ref="B15:B17"/>
    <mergeCell ref="C15:C17"/>
    <mergeCell ref="L15:L17"/>
    <mergeCell ref="L18:L20"/>
    <mergeCell ref="K18:K20"/>
    <mergeCell ref="J15:J17"/>
    <mergeCell ref="K15:K17"/>
    <mergeCell ref="A18:A20"/>
    <mergeCell ref="B18:B20"/>
    <mergeCell ref="E18:E20"/>
    <mergeCell ref="F18:F20"/>
    <mergeCell ref="G18:G20"/>
    <mergeCell ref="E15:E17"/>
    <mergeCell ref="F15:F17"/>
    <mergeCell ref="G15:G1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O14"/>
  <sheetViews>
    <sheetView topLeftCell="B1" workbookViewId="0">
      <selection activeCell="H14" sqref="H14"/>
    </sheetView>
  </sheetViews>
  <sheetFormatPr defaultRowHeight="14.4" x14ac:dyDescent="0.3"/>
  <cols>
    <col min="2" max="2" width="10.21875" bestFit="1" customWidth="1"/>
    <col min="3" max="3" width="20" bestFit="1" customWidth="1"/>
    <col min="4" max="4" width="12" customWidth="1"/>
    <col min="5" max="5" width="12.5546875" bestFit="1" customWidth="1"/>
    <col min="6" max="7" width="14.109375" bestFit="1" customWidth="1"/>
    <col min="8" max="8" width="46.33203125" bestFit="1" customWidth="1"/>
    <col min="14" max="14" width="12.109375" customWidth="1"/>
    <col min="15" max="15" width="14.21875" customWidth="1"/>
  </cols>
  <sheetData>
    <row r="1" spans="1:15" ht="15.6" x14ac:dyDescent="0.3">
      <c r="A1" s="216" t="s">
        <v>105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</row>
    <row r="2" spans="1:15" ht="82.8" customHeight="1" x14ac:dyDescent="0.3">
      <c r="A2" s="24" t="s">
        <v>106</v>
      </c>
      <c r="B2" s="24" t="s">
        <v>107</v>
      </c>
      <c r="C2" s="24" t="s">
        <v>147</v>
      </c>
      <c r="D2" s="24" t="s">
        <v>148</v>
      </c>
      <c r="E2" s="24" t="s">
        <v>108</v>
      </c>
      <c r="F2" s="25" t="s">
        <v>109</v>
      </c>
      <c r="G2" s="25" t="s">
        <v>110</v>
      </c>
      <c r="H2" s="24" t="s">
        <v>111</v>
      </c>
      <c r="I2" s="24" t="s">
        <v>112</v>
      </c>
      <c r="J2" s="24" t="s">
        <v>113</v>
      </c>
      <c r="K2" s="25" t="s">
        <v>114</v>
      </c>
      <c r="L2" s="25" t="s">
        <v>115</v>
      </c>
      <c r="M2" s="25" t="s">
        <v>116</v>
      </c>
      <c r="N2" s="26" t="s">
        <v>117</v>
      </c>
      <c r="O2" s="28" t="s">
        <v>140</v>
      </c>
    </row>
    <row r="3" spans="1:15" x14ac:dyDescent="0.3">
      <c r="A3" s="195">
        <v>1</v>
      </c>
      <c r="B3" s="221" t="s">
        <v>132</v>
      </c>
      <c r="C3" s="294" t="s">
        <v>100</v>
      </c>
      <c r="D3" s="297" t="s">
        <v>101</v>
      </c>
      <c r="E3" s="211">
        <v>46081</v>
      </c>
      <c r="F3" s="198" t="s">
        <v>51</v>
      </c>
      <c r="G3" s="198" t="s">
        <v>133</v>
      </c>
      <c r="H3" s="31" t="s">
        <v>121</v>
      </c>
      <c r="I3" s="31" t="s">
        <v>122</v>
      </c>
      <c r="J3" s="31">
        <v>1</v>
      </c>
      <c r="K3" s="198">
        <v>257284</v>
      </c>
      <c r="L3" s="199">
        <f>K3+12000</f>
        <v>269284</v>
      </c>
      <c r="M3" s="198">
        <v>270547</v>
      </c>
      <c r="N3" s="201">
        <f>M3-K3</f>
        <v>13263</v>
      </c>
      <c r="O3" s="34"/>
    </row>
    <row r="4" spans="1:15" x14ac:dyDescent="0.3">
      <c r="A4" s="196"/>
      <c r="B4" s="221"/>
      <c r="C4" s="295"/>
      <c r="D4" s="298"/>
      <c r="E4" s="211"/>
      <c r="F4" s="198"/>
      <c r="G4" s="198"/>
      <c r="H4" s="31" t="s">
        <v>134</v>
      </c>
      <c r="I4" s="31" t="s">
        <v>123</v>
      </c>
      <c r="J4" s="31">
        <v>30</v>
      </c>
      <c r="K4" s="198"/>
      <c r="L4" s="199"/>
      <c r="M4" s="198"/>
      <c r="N4" s="201"/>
      <c r="O4" s="34"/>
    </row>
    <row r="5" spans="1:15" x14ac:dyDescent="0.3">
      <c r="A5" s="196"/>
      <c r="B5" s="221"/>
      <c r="C5" s="295"/>
      <c r="D5" s="298"/>
      <c r="E5" s="211"/>
      <c r="F5" s="198"/>
      <c r="G5" s="198"/>
      <c r="H5" s="31" t="s">
        <v>135</v>
      </c>
      <c r="I5" s="31" t="s">
        <v>122</v>
      </c>
      <c r="J5" s="31">
        <v>1</v>
      </c>
      <c r="K5" s="198"/>
      <c r="L5" s="199"/>
      <c r="M5" s="198"/>
      <c r="N5" s="201"/>
      <c r="O5" s="34"/>
    </row>
    <row r="6" spans="1:15" x14ac:dyDescent="0.3">
      <c r="A6" s="196"/>
      <c r="B6" s="221" t="s">
        <v>132</v>
      </c>
      <c r="C6" s="295"/>
      <c r="D6" s="298"/>
      <c r="E6" s="263">
        <v>46141</v>
      </c>
      <c r="F6" s="198" t="s">
        <v>51</v>
      </c>
      <c r="G6" s="198" t="s">
        <v>133</v>
      </c>
      <c r="H6" s="32" t="s">
        <v>151</v>
      </c>
      <c r="I6" s="31"/>
      <c r="J6" s="31"/>
      <c r="K6" s="198">
        <v>274969</v>
      </c>
      <c r="L6" s="199"/>
      <c r="M6" s="198">
        <v>286729</v>
      </c>
      <c r="N6" s="201">
        <f>M6-K6</f>
        <v>11760</v>
      </c>
      <c r="O6" s="300"/>
    </row>
    <row r="7" spans="1:15" x14ac:dyDescent="0.3">
      <c r="A7" s="196"/>
      <c r="B7" s="221"/>
      <c r="C7" s="295"/>
      <c r="D7" s="298"/>
      <c r="E7" s="263"/>
      <c r="F7" s="198"/>
      <c r="G7" s="198"/>
      <c r="H7" s="32" t="s">
        <v>152</v>
      </c>
      <c r="I7" s="31"/>
      <c r="J7" s="31"/>
      <c r="K7" s="198"/>
      <c r="L7" s="199"/>
      <c r="M7" s="198"/>
      <c r="N7" s="201"/>
      <c r="O7" s="301"/>
    </row>
    <row r="8" spans="1:15" x14ac:dyDescent="0.3">
      <c r="A8" s="197"/>
      <c r="B8" s="221"/>
      <c r="C8" s="296"/>
      <c r="D8" s="299"/>
      <c r="E8" s="263"/>
      <c r="F8" s="198"/>
      <c r="G8" s="198"/>
      <c r="H8" s="31"/>
      <c r="I8" s="31"/>
      <c r="J8" s="31"/>
      <c r="K8" s="198"/>
      <c r="L8" s="199"/>
      <c r="M8" s="198"/>
      <c r="N8" s="201"/>
      <c r="O8" s="302"/>
    </row>
    <row r="9" spans="1:15" x14ac:dyDescent="0.3">
      <c r="A9" s="222">
        <v>2</v>
      </c>
      <c r="B9" s="223" t="s">
        <v>136</v>
      </c>
      <c r="C9" s="230" t="s">
        <v>144</v>
      </c>
      <c r="D9" s="275" t="s">
        <v>102</v>
      </c>
      <c r="E9" s="224">
        <v>46121</v>
      </c>
      <c r="F9" s="222" t="s">
        <v>51</v>
      </c>
      <c r="G9" s="198" t="s">
        <v>133</v>
      </c>
      <c r="H9" s="32" t="s">
        <v>151</v>
      </c>
      <c r="I9" s="32"/>
      <c r="J9" s="32"/>
      <c r="K9" s="222">
        <v>221398</v>
      </c>
      <c r="L9" s="218"/>
      <c r="M9" s="222">
        <v>230429</v>
      </c>
      <c r="N9" s="220">
        <f>M9-K9</f>
        <v>9031</v>
      </c>
      <c r="O9" s="34"/>
    </row>
    <row r="10" spans="1:15" ht="19.2" customHeight="1" x14ac:dyDescent="0.3">
      <c r="A10" s="222"/>
      <c r="B10" s="223"/>
      <c r="C10" s="231"/>
      <c r="D10" s="276"/>
      <c r="E10" s="224"/>
      <c r="F10" s="222"/>
      <c r="G10" s="198"/>
      <c r="H10" s="32" t="s">
        <v>152</v>
      </c>
      <c r="I10" s="32"/>
      <c r="J10" s="32"/>
      <c r="K10" s="222"/>
      <c r="L10" s="218"/>
      <c r="M10" s="222"/>
      <c r="N10" s="220"/>
      <c r="O10" s="34"/>
    </row>
    <row r="11" spans="1:15" x14ac:dyDescent="0.3">
      <c r="A11" s="222"/>
      <c r="B11" s="218"/>
      <c r="C11" s="231"/>
      <c r="D11" s="276"/>
      <c r="E11" s="224"/>
      <c r="F11" s="222"/>
      <c r="G11" s="198"/>
      <c r="H11" s="32"/>
      <c r="I11" s="32"/>
      <c r="J11" s="32"/>
      <c r="K11" s="222"/>
      <c r="L11" s="218"/>
      <c r="M11" s="222"/>
      <c r="N11" s="220"/>
      <c r="O11" s="34"/>
    </row>
    <row r="12" spans="1:15" x14ac:dyDescent="0.3">
      <c r="B12" s="223" t="s">
        <v>136</v>
      </c>
      <c r="C12" s="231"/>
      <c r="D12" s="276"/>
      <c r="E12" s="224">
        <v>46174</v>
      </c>
      <c r="F12" s="222" t="s">
        <v>51</v>
      </c>
      <c r="G12" s="198" t="s">
        <v>133</v>
      </c>
      <c r="H12" s="32"/>
      <c r="I12" s="32"/>
      <c r="J12" s="32"/>
      <c r="K12" s="222">
        <v>221398</v>
      </c>
      <c r="L12" s="218"/>
      <c r="M12" s="222">
        <v>230429</v>
      </c>
      <c r="N12" s="220">
        <f>M12-K12</f>
        <v>9031</v>
      </c>
      <c r="O12" s="34"/>
    </row>
    <row r="13" spans="1:15" x14ac:dyDescent="0.3">
      <c r="B13" s="223"/>
      <c r="C13" s="231"/>
      <c r="D13" s="276"/>
      <c r="E13" s="224"/>
      <c r="F13" s="222"/>
      <c r="G13" s="198"/>
      <c r="H13" s="32" t="s">
        <v>173</v>
      </c>
      <c r="I13" s="32"/>
      <c r="J13" s="32"/>
      <c r="K13" s="222"/>
      <c r="L13" s="218"/>
      <c r="M13" s="222"/>
      <c r="N13" s="220"/>
      <c r="O13" s="34"/>
    </row>
    <row r="14" spans="1:15" x14ac:dyDescent="0.3">
      <c r="B14" s="218"/>
      <c r="C14" s="232"/>
      <c r="D14" s="277"/>
      <c r="E14" s="224"/>
      <c r="F14" s="222"/>
      <c r="G14" s="198"/>
      <c r="H14" s="32"/>
      <c r="I14" s="32"/>
      <c r="J14" s="32"/>
      <c r="K14" s="222"/>
      <c r="L14" s="218"/>
      <c r="M14" s="222"/>
      <c r="N14" s="220"/>
      <c r="O14" s="34"/>
    </row>
  </sheetData>
  <mergeCells count="40">
    <mergeCell ref="O6:O8"/>
    <mergeCell ref="K6:K8"/>
    <mergeCell ref="L6:L8"/>
    <mergeCell ref="M6:M8"/>
    <mergeCell ref="N6:N8"/>
    <mergeCell ref="K3:K5"/>
    <mergeCell ref="L3:L5"/>
    <mergeCell ref="M3:M5"/>
    <mergeCell ref="N3:N5"/>
    <mergeCell ref="A1:O1"/>
    <mergeCell ref="B3:B5"/>
    <mergeCell ref="E3:E5"/>
    <mergeCell ref="F3:F5"/>
    <mergeCell ref="G3:G5"/>
    <mergeCell ref="C3:C8"/>
    <mergeCell ref="D3:D8"/>
    <mergeCell ref="A3:A8"/>
    <mergeCell ref="B6:B8"/>
    <mergeCell ref="E6:E8"/>
    <mergeCell ref="F6:F8"/>
    <mergeCell ref="G6:G8"/>
    <mergeCell ref="L9:L11"/>
    <mergeCell ref="M9:M11"/>
    <mergeCell ref="N9:N11"/>
    <mergeCell ref="A9:A11"/>
    <mergeCell ref="B9:B11"/>
    <mergeCell ref="E9:E11"/>
    <mergeCell ref="F9:F11"/>
    <mergeCell ref="G9:G11"/>
    <mergeCell ref="K9:K11"/>
    <mergeCell ref="B12:B14"/>
    <mergeCell ref="E12:E14"/>
    <mergeCell ref="F12:F14"/>
    <mergeCell ref="C9:C14"/>
    <mergeCell ref="D9:D14"/>
    <mergeCell ref="G12:G14"/>
    <mergeCell ref="K12:K14"/>
    <mergeCell ref="L12:L14"/>
    <mergeCell ref="M12:M14"/>
    <mergeCell ref="N12:N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48"/>
  <sheetViews>
    <sheetView zoomScale="58" zoomScaleNormal="58" workbookViewId="0">
      <selection activeCell="F16" sqref="F16"/>
    </sheetView>
  </sheetViews>
  <sheetFormatPr defaultColWidth="8.77734375" defaultRowHeight="21.6" x14ac:dyDescent="0.3"/>
  <cols>
    <col min="1" max="1" width="8.77734375" style="4" bestFit="1" customWidth="1"/>
    <col min="2" max="2" width="43.33203125" style="4" customWidth="1"/>
    <col min="3" max="3" width="20.88671875" style="4" customWidth="1"/>
    <col min="4" max="4" width="25.77734375" style="4" bestFit="1" customWidth="1"/>
    <col min="5" max="5" width="45" style="4" customWidth="1"/>
    <col min="6" max="6" width="43.77734375" style="4" customWidth="1"/>
    <col min="7" max="7" width="10.21875" style="4" bestFit="1" customWidth="1"/>
    <col min="8" max="16384" width="8.77734375" style="4"/>
  </cols>
  <sheetData>
    <row r="2" spans="1:6" x14ac:dyDescent="0.3">
      <c r="A2" s="303" t="s">
        <v>73</v>
      </c>
      <c r="B2" s="304"/>
      <c r="C2" s="304"/>
      <c r="D2" s="304"/>
      <c r="E2" s="304"/>
      <c r="F2" s="305"/>
    </row>
    <row r="3" spans="1:6" x14ac:dyDescent="0.3">
      <c r="A3" s="306"/>
      <c r="B3" s="307"/>
      <c r="C3" s="307"/>
      <c r="D3" s="307"/>
      <c r="E3" s="307"/>
      <c r="F3" s="308"/>
    </row>
    <row r="4" spans="1:6" x14ac:dyDescent="0.3">
      <c r="A4" s="5" t="s">
        <v>0</v>
      </c>
      <c r="B4" s="5" t="s">
        <v>74</v>
      </c>
      <c r="C4" s="5" t="s">
        <v>75</v>
      </c>
      <c r="D4" s="5" t="s">
        <v>76</v>
      </c>
      <c r="E4" s="5" t="s">
        <v>7</v>
      </c>
      <c r="F4" s="5" t="s">
        <v>76</v>
      </c>
    </row>
    <row r="5" spans="1:6" x14ac:dyDescent="0.4">
      <c r="B5" s="309" t="s">
        <v>77</v>
      </c>
      <c r="C5" s="11" t="s">
        <v>17</v>
      </c>
      <c r="D5" s="11"/>
      <c r="E5" s="12" t="s">
        <v>19</v>
      </c>
      <c r="F5" s="13">
        <v>46199</v>
      </c>
    </row>
    <row r="6" spans="1:6" x14ac:dyDescent="0.4">
      <c r="B6" s="309"/>
      <c r="C6" s="14" t="s">
        <v>25</v>
      </c>
      <c r="D6" s="14"/>
      <c r="E6" s="15" t="s">
        <v>26</v>
      </c>
      <c r="F6" s="16">
        <v>46199</v>
      </c>
    </row>
    <row r="7" spans="1:6" x14ac:dyDescent="0.4">
      <c r="B7" s="309"/>
      <c r="C7" s="11" t="s">
        <v>27</v>
      </c>
      <c r="D7" s="11"/>
      <c r="E7" s="15" t="s">
        <v>28</v>
      </c>
      <c r="F7" s="16">
        <v>46199</v>
      </c>
    </row>
    <row r="8" spans="1:6" x14ac:dyDescent="0.4">
      <c r="B8" s="309"/>
      <c r="C8" s="14" t="s">
        <v>41</v>
      </c>
      <c r="D8" s="14"/>
      <c r="E8" s="15" t="s">
        <v>42</v>
      </c>
      <c r="F8" s="16">
        <v>46199</v>
      </c>
    </row>
    <row r="9" spans="1:6" x14ac:dyDescent="0.4">
      <c r="B9" s="309"/>
      <c r="C9" s="14" t="s">
        <v>49</v>
      </c>
      <c r="D9" s="14"/>
      <c r="E9" s="15" t="s">
        <v>50</v>
      </c>
      <c r="F9" s="16">
        <v>46199</v>
      </c>
    </row>
    <row r="10" spans="1:6" x14ac:dyDescent="0.4">
      <c r="B10" s="309"/>
      <c r="C10" s="6"/>
      <c r="D10" s="10"/>
      <c r="E10" s="15" t="s">
        <v>61</v>
      </c>
      <c r="F10" s="17">
        <v>46199</v>
      </c>
    </row>
    <row r="11" spans="1:6" x14ac:dyDescent="0.3">
      <c r="B11" s="309"/>
      <c r="C11" s="14" t="s">
        <v>53</v>
      </c>
      <c r="D11" s="14" t="s">
        <v>78</v>
      </c>
      <c r="E11" s="10" t="s">
        <v>56</v>
      </c>
      <c r="F11" s="16" t="s">
        <v>54</v>
      </c>
    </row>
    <row r="12" spans="1:6" x14ac:dyDescent="0.3">
      <c r="B12" s="309"/>
      <c r="C12" s="14" t="s">
        <v>57</v>
      </c>
      <c r="D12" s="14" t="s">
        <v>79</v>
      </c>
      <c r="E12" s="10" t="s">
        <v>59</v>
      </c>
      <c r="F12" s="16" t="s">
        <v>58</v>
      </c>
    </row>
    <row r="13" spans="1:6" x14ac:dyDescent="0.3">
      <c r="B13" s="309"/>
      <c r="C13" s="6"/>
      <c r="D13" s="10"/>
      <c r="E13" s="10" t="s">
        <v>64</v>
      </c>
      <c r="F13" s="16">
        <v>46281</v>
      </c>
    </row>
    <row r="14" spans="1:6" x14ac:dyDescent="0.4">
      <c r="B14" s="309" t="s">
        <v>80</v>
      </c>
      <c r="C14" s="10"/>
      <c r="D14" s="10"/>
      <c r="E14" s="12" t="s">
        <v>19</v>
      </c>
      <c r="F14" s="17">
        <v>46199</v>
      </c>
    </row>
    <row r="15" spans="1:6" x14ac:dyDescent="0.4">
      <c r="B15" s="309"/>
      <c r="C15" s="10"/>
      <c r="D15" s="10"/>
      <c r="E15" s="15" t="s">
        <v>26</v>
      </c>
      <c r="F15" s="16">
        <v>46199</v>
      </c>
    </row>
    <row r="16" spans="1:6" x14ac:dyDescent="0.4">
      <c r="B16" s="309"/>
      <c r="C16" s="10"/>
      <c r="D16" s="10"/>
      <c r="E16" s="15" t="s">
        <v>28</v>
      </c>
      <c r="F16" s="16">
        <v>46199</v>
      </c>
    </row>
    <row r="17" spans="1:6" x14ac:dyDescent="0.4">
      <c r="B17" s="309"/>
      <c r="C17" s="10"/>
      <c r="D17" s="10"/>
      <c r="E17" s="15" t="s">
        <v>42</v>
      </c>
      <c r="F17" s="16">
        <v>46199</v>
      </c>
    </row>
    <row r="18" spans="1:6" x14ac:dyDescent="0.4">
      <c r="B18" s="309"/>
      <c r="C18" s="10"/>
      <c r="D18" s="10"/>
      <c r="E18" s="15" t="s">
        <v>50</v>
      </c>
      <c r="F18" s="17">
        <v>46199</v>
      </c>
    </row>
    <row r="19" spans="1:6" x14ac:dyDescent="0.4">
      <c r="A19" s="18"/>
      <c r="B19" s="309"/>
      <c r="C19" s="10"/>
      <c r="D19" s="10"/>
      <c r="E19" s="15" t="s">
        <v>61</v>
      </c>
      <c r="F19" s="13">
        <v>46199</v>
      </c>
    </row>
    <row r="20" spans="1:6" x14ac:dyDescent="0.3">
      <c r="B20" s="309"/>
      <c r="C20" s="10"/>
      <c r="D20" s="10"/>
      <c r="E20" s="19" t="s">
        <v>35</v>
      </c>
      <c r="F20" s="16">
        <v>46331</v>
      </c>
    </row>
    <row r="21" spans="1:6" x14ac:dyDescent="0.3">
      <c r="B21" s="309"/>
      <c r="C21" s="10"/>
      <c r="D21" s="10"/>
      <c r="E21" s="10" t="s">
        <v>36</v>
      </c>
      <c r="F21" s="16">
        <v>46331</v>
      </c>
    </row>
    <row r="22" spans="1:6" x14ac:dyDescent="0.3">
      <c r="B22" s="309"/>
      <c r="C22" s="10"/>
      <c r="D22" s="10"/>
      <c r="E22" s="10" t="s">
        <v>40</v>
      </c>
      <c r="F22" s="16">
        <v>46331</v>
      </c>
    </row>
    <row r="23" spans="1:6" x14ac:dyDescent="0.3">
      <c r="B23" s="309"/>
      <c r="C23" s="10"/>
      <c r="D23" s="10"/>
      <c r="E23" s="20" t="s">
        <v>45</v>
      </c>
      <c r="F23" s="16">
        <v>46331</v>
      </c>
    </row>
    <row r="24" spans="1:6" x14ac:dyDescent="0.3">
      <c r="B24" s="309"/>
      <c r="C24" s="10"/>
      <c r="D24" s="10"/>
      <c r="E24" s="10" t="s">
        <v>48</v>
      </c>
      <c r="F24" s="16">
        <v>46331</v>
      </c>
    </row>
    <row r="25" spans="1:6" x14ac:dyDescent="0.3">
      <c r="B25" s="309"/>
      <c r="C25" s="10"/>
      <c r="D25" s="10"/>
      <c r="E25" s="20" t="s">
        <v>60</v>
      </c>
      <c r="F25" s="16">
        <v>46331</v>
      </c>
    </row>
    <row r="26" spans="1:6" x14ac:dyDescent="0.3">
      <c r="B26" s="309"/>
      <c r="C26" s="14" t="s">
        <v>53</v>
      </c>
      <c r="D26" s="16">
        <v>46224</v>
      </c>
      <c r="E26" s="10" t="s">
        <v>56</v>
      </c>
      <c r="F26" s="16">
        <v>46224</v>
      </c>
    </row>
    <row r="27" spans="1:6" x14ac:dyDescent="0.3">
      <c r="B27" s="309"/>
      <c r="C27" s="14" t="s">
        <v>57</v>
      </c>
      <c r="D27" s="16">
        <v>46224</v>
      </c>
      <c r="E27" s="10" t="s">
        <v>59</v>
      </c>
      <c r="F27" s="16">
        <v>46224</v>
      </c>
    </row>
    <row r="28" spans="1:6" x14ac:dyDescent="0.3">
      <c r="B28" s="309"/>
      <c r="C28" s="14" t="s">
        <v>31</v>
      </c>
      <c r="D28" s="10"/>
      <c r="E28" s="10"/>
      <c r="F28" s="16">
        <v>46337</v>
      </c>
    </row>
    <row r="29" spans="1:6" x14ac:dyDescent="0.3">
      <c r="B29" s="309"/>
      <c r="C29" s="11" t="s">
        <v>38</v>
      </c>
      <c r="D29" s="10"/>
      <c r="E29" s="10"/>
      <c r="F29" s="16">
        <v>46337</v>
      </c>
    </row>
    <row r="30" spans="1:6" x14ac:dyDescent="0.3">
      <c r="B30" s="309"/>
      <c r="C30" s="14" t="s">
        <v>41</v>
      </c>
      <c r="D30" s="10"/>
      <c r="E30" s="10"/>
      <c r="F30" s="16">
        <v>46337</v>
      </c>
    </row>
    <row r="31" spans="1:6" x14ac:dyDescent="0.3">
      <c r="B31" s="309"/>
      <c r="C31" s="11" t="s">
        <v>43</v>
      </c>
      <c r="D31" s="10"/>
      <c r="E31" s="10"/>
      <c r="F31" s="16">
        <v>46337</v>
      </c>
    </row>
    <row r="32" spans="1:6" x14ac:dyDescent="0.3">
      <c r="B32" s="309"/>
      <c r="C32" s="11" t="s">
        <v>46</v>
      </c>
      <c r="D32" s="10"/>
      <c r="E32" s="10"/>
      <c r="F32" s="16">
        <v>46337</v>
      </c>
    </row>
    <row r="33" spans="2:6" x14ac:dyDescent="0.3">
      <c r="B33" s="309"/>
      <c r="C33" s="14" t="s">
        <v>49</v>
      </c>
      <c r="D33" s="10"/>
      <c r="E33" s="10"/>
      <c r="F33" s="16">
        <v>46337</v>
      </c>
    </row>
    <row r="48" spans="2:6" x14ac:dyDescent="0.3">
      <c r="B48" s="7"/>
      <c r="C48" s="7"/>
      <c r="D48" s="7"/>
      <c r="E48" s="7"/>
      <c r="F48" s="8"/>
    </row>
  </sheetData>
  <mergeCells count="3">
    <mergeCell ref="A2:F3"/>
    <mergeCell ref="B5:B13"/>
    <mergeCell ref="B14:B3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D2" sqref="D2"/>
    </sheetView>
  </sheetViews>
  <sheetFormatPr defaultRowHeight="14.4" x14ac:dyDescent="0.3"/>
  <cols>
    <col min="2" max="2" width="27.6640625" bestFit="1" customWidth="1"/>
    <col min="3" max="3" width="12.109375" bestFit="1" customWidth="1"/>
    <col min="4" max="4" width="14.44140625" bestFit="1" customWidth="1"/>
    <col min="5" max="5" width="17" bestFit="1" customWidth="1"/>
    <col min="6" max="6" width="11.6640625" bestFit="1" customWidth="1"/>
    <col min="7" max="7" width="18.5546875" customWidth="1"/>
    <col min="8" max="8" width="16.33203125" customWidth="1"/>
    <col min="9" max="9" width="16.6640625" customWidth="1"/>
    <col min="10" max="10" width="22.33203125" customWidth="1"/>
    <col min="11" max="11" width="10.109375" bestFit="1" customWidth="1"/>
  </cols>
  <sheetData>
    <row r="1" spans="1:11" ht="27.6" x14ac:dyDescent="0.3">
      <c r="A1" s="1" t="s">
        <v>0</v>
      </c>
      <c r="B1" s="1" t="s">
        <v>81</v>
      </c>
      <c r="C1" s="1" t="s">
        <v>82</v>
      </c>
      <c r="D1" s="1" t="s">
        <v>1</v>
      </c>
      <c r="E1" s="1" t="s">
        <v>2</v>
      </c>
      <c r="F1" s="1"/>
      <c r="G1" s="1" t="s">
        <v>7</v>
      </c>
      <c r="H1" s="1" t="s">
        <v>167</v>
      </c>
      <c r="I1" s="1" t="s">
        <v>168</v>
      </c>
      <c r="J1" s="2" t="s">
        <v>9</v>
      </c>
    </row>
    <row r="2" spans="1:11" ht="27.6" x14ac:dyDescent="0.3">
      <c r="A2" s="21">
        <v>1</v>
      </c>
      <c r="B2" s="148" t="s">
        <v>98</v>
      </c>
      <c r="C2" s="35" t="s">
        <v>99</v>
      </c>
      <c r="D2" s="21" t="s">
        <v>11</v>
      </c>
      <c r="E2" s="52" t="s">
        <v>17</v>
      </c>
      <c r="F2" s="53" t="s">
        <v>159</v>
      </c>
      <c r="G2" s="59" t="s">
        <v>19</v>
      </c>
      <c r="H2" s="54">
        <v>46199</v>
      </c>
      <c r="I2" s="96">
        <v>46569</v>
      </c>
      <c r="J2" s="55"/>
    </row>
    <row r="3" spans="1:11" ht="17.399999999999999" x14ac:dyDescent="0.3">
      <c r="A3" s="21">
        <v>2</v>
      </c>
      <c r="B3" s="149" t="s">
        <v>87</v>
      </c>
      <c r="C3" s="9" t="s">
        <v>88</v>
      </c>
      <c r="D3" s="46" t="s">
        <v>11</v>
      </c>
      <c r="E3" s="52" t="s">
        <v>27</v>
      </c>
      <c r="F3" s="31" t="s">
        <v>160</v>
      </c>
      <c r="G3" s="59" t="s">
        <v>28</v>
      </c>
      <c r="H3" s="51">
        <v>46199</v>
      </c>
      <c r="I3" s="96">
        <v>46569</v>
      </c>
      <c r="J3" s="48"/>
    </row>
    <row r="4" spans="1:11" ht="17.399999999999999" x14ac:dyDescent="0.3">
      <c r="A4" s="21">
        <v>3</v>
      </c>
      <c r="B4" s="148" t="s">
        <v>103</v>
      </c>
      <c r="C4" s="47" t="s">
        <v>104</v>
      </c>
      <c r="D4" s="21" t="s">
        <v>29</v>
      </c>
      <c r="E4" s="52" t="s">
        <v>46</v>
      </c>
      <c r="F4" s="45" t="s">
        <v>158</v>
      </c>
      <c r="G4" s="59" t="s">
        <v>61</v>
      </c>
      <c r="H4" s="54">
        <v>46199</v>
      </c>
      <c r="I4" s="96">
        <v>46569</v>
      </c>
      <c r="J4" s="22"/>
    </row>
    <row r="5" spans="1:11" ht="18.600000000000001" customHeight="1" x14ac:dyDescent="0.3">
      <c r="A5" s="21">
        <v>4</v>
      </c>
      <c r="B5" s="150" t="s">
        <v>153</v>
      </c>
      <c r="C5" s="151" t="s">
        <v>155</v>
      </c>
      <c r="D5" s="21" t="s">
        <v>29</v>
      </c>
      <c r="E5" s="57" t="s">
        <v>49</v>
      </c>
      <c r="F5" s="45" t="s">
        <v>158</v>
      </c>
      <c r="G5" s="59" t="s">
        <v>50</v>
      </c>
      <c r="H5" s="51">
        <v>46199</v>
      </c>
      <c r="I5" s="96">
        <v>46569</v>
      </c>
      <c r="J5" s="49"/>
    </row>
    <row r="6" spans="1:11" ht="16.8" x14ac:dyDescent="0.3">
      <c r="A6" s="140"/>
      <c r="B6" s="141"/>
      <c r="C6" s="142"/>
      <c r="D6" s="140"/>
      <c r="E6" s="143"/>
      <c r="F6" s="144"/>
      <c r="G6" s="145"/>
      <c r="H6" s="147"/>
      <c r="I6" s="147"/>
      <c r="J6" s="146"/>
    </row>
    <row r="7" spans="1:11" ht="16.8" x14ac:dyDescent="0.3">
      <c r="A7" s="140"/>
      <c r="B7" s="141"/>
      <c r="C7" s="142"/>
      <c r="D7" s="140"/>
      <c r="E7" s="143"/>
      <c r="F7" s="144"/>
      <c r="G7" s="145"/>
      <c r="H7" s="147"/>
      <c r="I7" s="147"/>
      <c r="J7" s="146"/>
    </row>
    <row r="9" spans="1:11" ht="27.6" x14ac:dyDescent="0.3">
      <c r="A9" s="1" t="s">
        <v>0</v>
      </c>
      <c r="B9" s="1" t="s">
        <v>81</v>
      </c>
      <c r="C9" s="1" t="s">
        <v>82</v>
      </c>
      <c r="D9" s="1" t="s">
        <v>1</v>
      </c>
      <c r="E9" s="1" t="s">
        <v>2</v>
      </c>
      <c r="F9" s="1"/>
      <c r="G9" s="1" t="s">
        <v>165</v>
      </c>
      <c r="H9" s="1" t="s">
        <v>166</v>
      </c>
      <c r="I9" s="1" t="s">
        <v>7</v>
      </c>
      <c r="J9" s="1" t="s">
        <v>167</v>
      </c>
      <c r="K9" s="1" t="s">
        <v>168</v>
      </c>
    </row>
    <row r="10" spans="1:11" ht="16.8" x14ac:dyDescent="0.3">
      <c r="A10" s="61">
        <v>1</v>
      </c>
      <c r="B10" s="56" t="s">
        <v>100</v>
      </c>
      <c r="C10" s="9" t="s">
        <v>101</v>
      </c>
      <c r="D10" s="46" t="s">
        <v>51</v>
      </c>
      <c r="E10" s="57" t="s">
        <v>172</v>
      </c>
      <c r="F10" s="45" t="s">
        <v>158</v>
      </c>
      <c r="G10" s="51" t="s">
        <v>54</v>
      </c>
      <c r="H10" s="51">
        <v>46224</v>
      </c>
      <c r="I10" s="60" t="s">
        <v>56</v>
      </c>
      <c r="J10" s="51" t="s">
        <v>54</v>
      </c>
      <c r="K10" s="51">
        <v>46224</v>
      </c>
    </row>
    <row r="11" spans="1:11" ht="16.8" x14ac:dyDescent="0.3">
      <c r="A11" s="61">
        <v>2</v>
      </c>
      <c r="B11" s="58" t="s">
        <v>144</v>
      </c>
      <c r="C11" s="35" t="s">
        <v>102</v>
      </c>
      <c r="D11" s="21" t="s">
        <v>51</v>
      </c>
      <c r="E11" s="46" t="s">
        <v>136</v>
      </c>
      <c r="F11" s="45" t="s">
        <v>158</v>
      </c>
      <c r="G11" s="51" t="s">
        <v>58</v>
      </c>
      <c r="H11" s="51">
        <v>46224</v>
      </c>
      <c r="I11" s="60" t="s">
        <v>59</v>
      </c>
      <c r="J11" s="51" t="s">
        <v>58</v>
      </c>
      <c r="K11" s="51">
        <v>46224</v>
      </c>
    </row>
  </sheetData>
  <conditionalFormatting sqref="J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</vt:lpstr>
      <vt:lpstr>CHENGLONG - </vt:lpstr>
      <vt:lpstr>SHACMAN- </vt:lpstr>
      <vt:lpstr>HOWO-  </vt:lpstr>
      <vt:lpstr>GIẤY TỜ SẮP HẾT HẠN</vt:lpstr>
      <vt:lpstr>XE -MOOC GẦN ĐẾN HẠN 06-2026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Huynh</dc:creator>
  <cp:lastModifiedBy>Hoai Giang</cp:lastModifiedBy>
  <dcterms:created xsi:type="dcterms:W3CDTF">2026-03-31T08:42:19Z</dcterms:created>
  <dcterms:modified xsi:type="dcterms:W3CDTF">2026-06-18T07:20:59Z</dcterms:modified>
</cp:coreProperties>
</file>